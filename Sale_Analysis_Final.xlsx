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de\Downloads\"/>
    </mc:Choice>
  </mc:AlternateContent>
  <xr:revisionPtr revIDLastSave="0" documentId="8_{EFD6AC84-CD5C-4DF2-9323-F10A8B6FF3D9}" xr6:coauthVersionLast="47" xr6:coauthVersionMax="47" xr10:uidLastSave="{00000000-0000-0000-0000-000000000000}"/>
  <bookViews>
    <workbookView xWindow="-108" yWindow="-108" windowWidth="23256" windowHeight="12456" firstSheet="1" activeTab="5" xr2:uid="{ED4DF1E4-167B-4C38-A6C0-5180E5D084BC}"/>
  </bookViews>
  <sheets>
    <sheet name="PROMO VS NORMAL " sheetId="6" r:id="rId1"/>
    <sheet name="Sheet1 (4)" sheetId="5" r:id="rId2"/>
    <sheet name="Sheet1 (3)" sheetId="4" r:id="rId3"/>
    <sheet name="Sheet1 (2)" sheetId="3" r:id="rId4"/>
    <sheet name="Sheet1" sheetId="2" r:id="rId5"/>
    <sheet name="Sales Case Study (2)" sheetId="1" r:id="rId6"/>
  </sheets>
  <calcPr calcId="0"/>
  <pivotCaches>
    <pivotCache cacheId="6" r:id="rId7"/>
  </pivotCaches>
</workbook>
</file>

<file path=xl/calcChain.xml><?xml version="1.0" encoding="utf-8"?>
<calcChain xmlns="http://schemas.openxmlformats.org/spreadsheetml/2006/main">
  <c r="H2" i="1" l="1"/>
  <c r="H3" i="1"/>
  <c r="H4" i="1"/>
  <c r="H5" i="1"/>
  <c r="J5" i="1" s="1"/>
  <c r="H6" i="1"/>
  <c r="H7" i="1"/>
  <c r="H8" i="1"/>
  <c r="H9" i="1"/>
  <c r="J9" i="1" s="1"/>
  <c r="H10" i="1"/>
  <c r="H11" i="1"/>
  <c r="H12" i="1"/>
  <c r="H13" i="1"/>
  <c r="J13" i="1" s="1"/>
  <c r="H14" i="1"/>
  <c r="H15" i="1"/>
  <c r="H16" i="1"/>
  <c r="H17" i="1"/>
  <c r="J17" i="1" s="1"/>
  <c r="H18" i="1"/>
  <c r="H19" i="1"/>
  <c r="H20" i="1"/>
  <c r="H21" i="1"/>
  <c r="J21" i="1" s="1"/>
  <c r="H22" i="1"/>
  <c r="H23" i="1"/>
  <c r="H24" i="1"/>
  <c r="H25" i="1"/>
  <c r="J25" i="1" s="1"/>
  <c r="H26" i="1"/>
  <c r="H27" i="1"/>
  <c r="H28" i="1"/>
  <c r="H29" i="1"/>
  <c r="J29" i="1" s="1"/>
  <c r="H30" i="1"/>
  <c r="H31" i="1"/>
  <c r="H32" i="1"/>
  <c r="H33" i="1"/>
  <c r="J33" i="1" s="1"/>
  <c r="H34" i="1"/>
  <c r="H35" i="1"/>
  <c r="H36" i="1"/>
  <c r="H37" i="1"/>
  <c r="J37" i="1" s="1"/>
  <c r="H38" i="1"/>
  <c r="H39" i="1"/>
  <c r="H40" i="1"/>
  <c r="H41" i="1"/>
  <c r="J41" i="1" s="1"/>
  <c r="H42" i="1"/>
  <c r="H43" i="1"/>
  <c r="H44" i="1"/>
  <c r="H45" i="1"/>
  <c r="H46" i="1"/>
  <c r="H47" i="1"/>
  <c r="H48" i="1"/>
  <c r="H49" i="1"/>
  <c r="J49" i="1" s="1"/>
  <c r="H50" i="1"/>
  <c r="H51" i="1"/>
  <c r="H52" i="1"/>
  <c r="H53" i="1"/>
  <c r="J53" i="1" s="1"/>
  <c r="H54" i="1"/>
  <c r="H55" i="1"/>
  <c r="H56" i="1"/>
  <c r="H57" i="1"/>
  <c r="J57" i="1" s="1"/>
  <c r="H58" i="1"/>
  <c r="H59" i="1"/>
  <c r="H60" i="1"/>
  <c r="H61" i="1"/>
  <c r="J61" i="1" s="1"/>
  <c r="H62" i="1"/>
  <c r="H63" i="1"/>
  <c r="H64" i="1"/>
  <c r="H65" i="1"/>
  <c r="J65" i="1" s="1"/>
  <c r="H66" i="1"/>
  <c r="H67" i="1"/>
  <c r="H68" i="1"/>
  <c r="H69" i="1"/>
  <c r="J69" i="1" s="1"/>
  <c r="H70" i="1"/>
  <c r="H71" i="1"/>
  <c r="H72" i="1"/>
  <c r="H73" i="1"/>
  <c r="J73" i="1" s="1"/>
  <c r="H74" i="1"/>
  <c r="H75" i="1"/>
  <c r="H76" i="1"/>
  <c r="H77" i="1"/>
  <c r="J77" i="1" s="1"/>
  <c r="H78" i="1"/>
  <c r="H79" i="1"/>
  <c r="H80" i="1"/>
  <c r="H81" i="1"/>
  <c r="J81" i="1" s="1"/>
  <c r="H82" i="1"/>
  <c r="H83" i="1"/>
  <c r="H84" i="1"/>
  <c r="H85" i="1"/>
  <c r="J85" i="1" s="1"/>
  <c r="H86" i="1"/>
  <c r="H87" i="1"/>
  <c r="H88" i="1"/>
  <c r="H89" i="1"/>
  <c r="J89" i="1" s="1"/>
  <c r="H90" i="1"/>
  <c r="H91" i="1"/>
  <c r="H92" i="1"/>
  <c r="H93" i="1"/>
  <c r="J93" i="1" s="1"/>
  <c r="H94" i="1"/>
  <c r="H95" i="1"/>
  <c r="H96" i="1"/>
  <c r="H97" i="1"/>
  <c r="J97" i="1" s="1"/>
  <c r="H98" i="1"/>
  <c r="H99" i="1"/>
  <c r="H100" i="1"/>
  <c r="H101" i="1"/>
  <c r="J101" i="1" s="1"/>
  <c r="H102" i="1"/>
  <c r="H103" i="1"/>
  <c r="H104" i="1"/>
  <c r="H105" i="1"/>
  <c r="J105" i="1" s="1"/>
  <c r="H106" i="1"/>
  <c r="H107" i="1"/>
  <c r="H108" i="1"/>
  <c r="H109" i="1"/>
  <c r="H110" i="1"/>
  <c r="H111" i="1"/>
  <c r="H112" i="1"/>
  <c r="H113" i="1"/>
  <c r="J113" i="1" s="1"/>
  <c r="H114" i="1"/>
  <c r="H115" i="1"/>
  <c r="H116" i="1"/>
  <c r="H117" i="1"/>
  <c r="J117" i="1" s="1"/>
  <c r="H118" i="1"/>
  <c r="H119" i="1"/>
  <c r="H120" i="1"/>
  <c r="H121" i="1"/>
  <c r="J121" i="1" s="1"/>
  <c r="H122" i="1"/>
  <c r="H123" i="1"/>
  <c r="H124" i="1"/>
  <c r="H125" i="1"/>
  <c r="J125" i="1" s="1"/>
  <c r="H126" i="1"/>
  <c r="H127" i="1"/>
  <c r="H128" i="1"/>
  <c r="H129" i="1"/>
  <c r="J129" i="1" s="1"/>
  <c r="H130" i="1"/>
  <c r="H131" i="1"/>
  <c r="H132" i="1"/>
  <c r="H133" i="1"/>
  <c r="J133" i="1" s="1"/>
  <c r="H134" i="1"/>
  <c r="H135" i="1"/>
  <c r="H136" i="1"/>
  <c r="H137" i="1"/>
  <c r="J137" i="1" s="1"/>
  <c r="H138" i="1"/>
  <c r="H139" i="1"/>
  <c r="H140" i="1"/>
  <c r="H141" i="1"/>
  <c r="J141" i="1" s="1"/>
  <c r="H142" i="1"/>
  <c r="H143" i="1"/>
  <c r="H144" i="1"/>
  <c r="H145" i="1"/>
  <c r="J145" i="1" s="1"/>
  <c r="H146" i="1"/>
  <c r="H147" i="1"/>
  <c r="H148" i="1"/>
  <c r="H149" i="1"/>
  <c r="J149" i="1" s="1"/>
  <c r="H150" i="1"/>
  <c r="H151" i="1"/>
  <c r="H152" i="1"/>
  <c r="H153" i="1"/>
  <c r="J153" i="1" s="1"/>
  <c r="H154" i="1"/>
  <c r="H155" i="1"/>
  <c r="H156" i="1"/>
  <c r="H157" i="1"/>
  <c r="J157" i="1" s="1"/>
  <c r="H158" i="1"/>
  <c r="H159" i="1"/>
  <c r="H160" i="1"/>
  <c r="H161" i="1"/>
  <c r="J161" i="1" s="1"/>
  <c r="H162" i="1"/>
  <c r="H163" i="1"/>
  <c r="H164" i="1"/>
  <c r="H165" i="1"/>
  <c r="J165" i="1" s="1"/>
  <c r="H166" i="1"/>
  <c r="H167" i="1"/>
  <c r="H168" i="1"/>
  <c r="H169" i="1"/>
  <c r="J169" i="1" s="1"/>
  <c r="H170" i="1"/>
  <c r="H171" i="1"/>
  <c r="H172" i="1"/>
  <c r="H173" i="1"/>
  <c r="H174" i="1"/>
  <c r="H175" i="1"/>
  <c r="H176" i="1"/>
  <c r="H177" i="1"/>
  <c r="J177" i="1" s="1"/>
  <c r="H178" i="1"/>
  <c r="H179" i="1"/>
  <c r="H180" i="1"/>
  <c r="H181" i="1"/>
  <c r="J181" i="1" s="1"/>
  <c r="H182" i="1"/>
  <c r="H183" i="1"/>
  <c r="H184" i="1"/>
  <c r="H185" i="1"/>
  <c r="J185" i="1" s="1"/>
  <c r="H186" i="1"/>
  <c r="H187" i="1"/>
  <c r="H188" i="1"/>
  <c r="H189" i="1"/>
  <c r="J189" i="1" s="1"/>
  <c r="H190" i="1"/>
  <c r="H191" i="1"/>
  <c r="H192" i="1"/>
  <c r="H193" i="1"/>
  <c r="J193" i="1" s="1"/>
  <c r="H194" i="1"/>
  <c r="H195" i="1"/>
  <c r="H196" i="1"/>
  <c r="H197" i="1"/>
  <c r="J197" i="1" s="1"/>
  <c r="H198" i="1"/>
  <c r="H199" i="1"/>
  <c r="H200" i="1"/>
  <c r="H201" i="1"/>
  <c r="J201" i="1" s="1"/>
  <c r="H202" i="1"/>
  <c r="H203" i="1"/>
  <c r="H204" i="1"/>
  <c r="H205" i="1"/>
  <c r="J205" i="1" s="1"/>
  <c r="H206" i="1"/>
  <c r="H207" i="1"/>
  <c r="H208" i="1"/>
  <c r="H209" i="1"/>
  <c r="J209" i="1" s="1"/>
  <c r="H210" i="1"/>
  <c r="H211" i="1"/>
  <c r="H212" i="1"/>
  <c r="H213" i="1"/>
  <c r="J213" i="1" s="1"/>
  <c r="H214" i="1"/>
  <c r="H215" i="1"/>
  <c r="H216" i="1"/>
  <c r="H217" i="1"/>
  <c r="J217" i="1" s="1"/>
  <c r="H218" i="1"/>
  <c r="H219" i="1"/>
  <c r="H220" i="1"/>
  <c r="H221" i="1"/>
  <c r="J221" i="1" s="1"/>
  <c r="H222" i="1"/>
  <c r="H223" i="1"/>
  <c r="H224" i="1"/>
  <c r="H225" i="1"/>
  <c r="J225" i="1" s="1"/>
  <c r="H226" i="1"/>
  <c r="H227" i="1"/>
  <c r="H228" i="1"/>
  <c r="H229" i="1"/>
  <c r="J229" i="1" s="1"/>
  <c r="H230" i="1"/>
  <c r="H231" i="1"/>
  <c r="H232" i="1"/>
  <c r="H233" i="1"/>
  <c r="J233" i="1" s="1"/>
  <c r="H234" i="1"/>
  <c r="H235" i="1"/>
  <c r="H236" i="1"/>
  <c r="H237" i="1"/>
  <c r="H238" i="1"/>
  <c r="H239" i="1"/>
  <c r="H240" i="1"/>
  <c r="H241" i="1"/>
  <c r="J241" i="1" s="1"/>
  <c r="H242" i="1"/>
  <c r="H243" i="1"/>
  <c r="H244" i="1"/>
  <c r="H245" i="1"/>
  <c r="J245" i="1" s="1"/>
  <c r="H246" i="1"/>
  <c r="H247" i="1"/>
  <c r="H248" i="1"/>
  <c r="H249" i="1"/>
  <c r="J249" i="1" s="1"/>
  <c r="H250" i="1"/>
  <c r="H251" i="1"/>
  <c r="H252" i="1"/>
  <c r="H253" i="1"/>
  <c r="J253" i="1" s="1"/>
  <c r="H254" i="1"/>
  <c r="H255" i="1"/>
  <c r="H256" i="1"/>
  <c r="H257" i="1"/>
  <c r="J257" i="1" s="1"/>
  <c r="H258" i="1"/>
  <c r="H259" i="1"/>
  <c r="H260" i="1"/>
  <c r="H261" i="1"/>
  <c r="J261" i="1" s="1"/>
  <c r="H262" i="1"/>
  <c r="H263" i="1"/>
  <c r="H264" i="1"/>
  <c r="H265" i="1"/>
  <c r="J265" i="1" s="1"/>
  <c r="H266" i="1"/>
  <c r="H267" i="1"/>
  <c r="H268" i="1"/>
  <c r="H269" i="1"/>
  <c r="J269" i="1" s="1"/>
  <c r="H270" i="1"/>
  <c r="H271" i="1"/>
  <c r="H272" i="1"/>
  <c r="H273" i="1"/>
  <c r="J273" i="1" s="1"/>
  <c r="H274" i="1"/>
  <c r="H275" i="1"/>
  <c r="H276" i="1"/>
  <c r="H277" i="1"/>
  <c r="J277" i="1" s="1"/>
  <c r="H278" i="1"/>
  <c r="H279" i="1"/>
  <c r="H280" i="1"/>
  <c r="H281" i="1"/>
  <c r="J281" i="1" s="1"/>
  <c r="H282" i="1"/>
  <c r="H283" i="1"/>
  <c r="H284" i="1"/>
  <c r="H285" i="1"/>
  <c r="J285" i="1" s="1"/>
  <c r="H286" i="1"/>
  <c r="H287" i="1"/>
  <c r="H288" i="1"/>
  <c r="H289" i="1"/>
  <c r="J289" i="1" s="1"/>
  <c r="H290" i="1"/>
  <c r="H291" i="1"/>
  <c r="H292" i="1"/>
  <c r="H293" i="1"/>
  <c r="J293" i="1" s="1"/>
  <c r="H294" i="1"/>
  <c r="H295" i="1"/>
  <c r="H296" i="1"/>
  <c r="H297" i="1"/>
  <c r="J297" i="1" s="1"/>
  <c r="H298" i="1"/>
  <c r="H299" i="1"/>
  <c r="H300" i="1"/>
  <c r="H301" i="1"/>
  <c r="H302" i="1"/>
  <c r="H303" i="1"/>
  <c r="H304" i="1"/>
  <c r="H305" i="1"/>
  <c r="J305" i="1" s="1"/>
  <c r="H306" i="1"/>
  <c r="H307" i="1"/>
  <c r="H308" i="1"/>
  <c r="H309" i="1"/>
  <c r="J309" i="1" s="1"/>
  <c r="H310" i="1"/>
  <c r="H311" i="1"/>
  <c r="H312" i="1"/>
  <c r="H313" i="1"/>
  <c r="J313" i="1" s="1"/>
  <c r="H314" i="1"/>
  <c r="H315" i="1"/>
  <c r="H316" i="1"/>
  <c r="H317" i="1"/>
  <c r="J317" i="1" s="1"/>
  <c r="H318" i="1"/>
  <c r="H319" i="1"/>
  <c r="H320" i="1"/>
  <c r="H321" i="1"/>
  <c r="J321" i="1" s="1"/>
  <c r="H322" i="1"/>
  <c r="H323" i="1"/>
  <c r="H324" i="1"/>
  <c r="H325" i="1"/>
  <c r="J325" i="1" s="1"/>
  <c r="H326" i="1"/>
  <c r="H327" i="1"/>
  <c r="H328" i="1"/>
  <c r="H329" i="1"/>
  <c r="J329" i="1" s="1"/>
  <c r="H330" i="1"/>
  <c r="H331" i="1"/>
  <c r="H332" i="1"/>
  <c r="H333" i="1"/>
  <c r="J333" i="1" s="1"/>
  <c r="H334" i="1"/>
  <c r="H335" i="1"/>
  <c r="H336" i="1"/>
  <c r="H337" i="1"/>
  <c r="J337" i="1" s="1"/>
  <c r="H338" i="1"/>
  <c r="H339" i="1"/>
  <c r="H340" i="1"/>
  <c r="H341" i="1"/>
  <c r="J341" i="1" s="1"/>
  <c r="H342" i="1"/>
  <c r="H343" i="1"/>
  <c r="H344" i="1"/>
  <c r="H345" i="1"/>
  <c r="J345" i="1" s="1"/>
  <c r="H346" i="1"/>
  <c r="H347" i="1"/>
  <c r="H348" i="1"/>
  <c r="H349" i="1"/>
  <c r="J349" i="1" s="1"/>
  <c r="H350" i="1"/>
  <c r="H351" i="1"/>
  <c r="H352" i="1"/>
  <c r="H353" i="1"/>
  <c r="J353" i="1" s="1"/>
  <c r="H354" i="1"/>
  <c r="H355" i="1"/>
  <c r="H356" i="1"/>
  <c r="H357" i="1"/>
  <c r="J357" i="1" s="1"/>
  <c r="H358" i="1"/>
  <c r="H359" i="1"/>
  <c r="H360" i="1"/>
  <c r="H361" i="1"/>
  <c r="J361" i="1" s="1"/>
  <c r="H362" i="1"/>
  <c r="H363" i="1"/>
  <c r="H364" i="1"/>
  <c r="H365" i="1"/>
  <c r="J365" i="1" s="1"/>
  <c r="H366" i="1"/>
  <c r="H367" i="1"/>
  <c r="H368" i="1"/>
  <c r="H369" i="1"/>
  <c r="J369" i="1" s="1"/>
  <c r="H370" i="1"/>
  <c r="H371" i="1"/>
  <c r="H372" i="1"/>
  <c r="H373" i="1"/>
  <c r="J373" i="1" s="1"/>
  <c r="H374" i="1"/>
  <c r="H375" i="1"/>
  <c r="H376" i="1"/>
  <c r="H377" i="1"/>
  <c r="J377" i="1" s="1"/>
  <c r="H378" i="1"/>
  <c r="H379" i="1"/>
  <c r="H380" i="1"/>
  <c r="H381" i="1"/>
  <c r="J381" i="1" s="1"/>
  <c r="H382" i="1"/>
  <c r="H383" i="1"/>
  <c r="H384" i="1"/>
  <c r="H385" i="1"/>
  <c r="J385" i="1" s="1"/>
  <c r="H386" i="1"/>
  <c r="H387" i="1"/>
  <c r="H388" i="1"/>
  <c r="H389" i="1"/>
  <c r="J389" i="1" s="1"/>
  <c r="H390" i="1"/>
  <c r="H391" i="1"/>
  <c r="H392" i="1"/>
  <c r="H393" i="1"/>
  <c r="J393" i="1" s="1"/>
  <c r="H394" i="1"/>
  <c r="H395" i="1"/>
  <c r="H396" i="1"/>
  <c r="H397" i="1"/>
  <c r="J397" i="1" s="1"/>
  <c r="H398" i="1"/>
  <c r="H399" i="1"/>
  <c r="H400" i="1"/>
  <c r="H401" i="1"/>
  <c r="J401" i="1" s="1"/>
  <c r="H402" i="1"/>
  <c r="H403" i="1"/>
  <c r="H404" i="1"/>
  <c r="H405" i="1"/>
  <c r="J405" i="1" s="1"/>
  <c r="H406" i="1"/>
  <c r="H407" i="1"/>
  <c r="H408" i="1"/>
  <c r="H409" i="1"/>
  <c r="J409" i="1" s="1"/>
  <c r="H410" i="1"/>
  <c r="H411" i="1"/>
  <c r="H412" i="1"/>
  <c r="H413" i="1"/>
  <c r="J413" i="1" s="1"/>
  <c r="H414" i="1"/>
  <c r="H415" i="1"/>
  <c r="H416" i="1"/>
  <c r="H417" i="1"/>
  <c r="J417" i="1" s="1"/>
  <c r="H418" i="1"/>
  <c r="H419" i="1"/>
  <c r="H420" i="1"/>
  <c r="H421" i="1"/>
  <c r="J421" i="1" s="1"/>
  <c r="H422" i="1"/>
  <c r="H423" i="1"/>
  <c r="H424" i="1"/>
  <c r="H425" i="1"/>
  <c r="J425" i="1" s="1"/>
  <c r="H426" i="1"/>
  <c r="H427" i="1"/>
  <c r="H428" i="1"/>
  <c r="H429" i="1"/>
  <c r="J429" i="1" s="1"/>
  <c r="H430" i="1"/>
  <c r="H431" i="1"/>
  <c r="H432" i="1"/>
  <c r="H433" i="1"/>
  <c r="J433" i="1" s="1"/>
  <c r="H434" i="1"/>
  <c r="H435" i="1"/>
  <c r="H436" i="1"/>
  <c r="H437" i="1"/>
  <c r="J437" i="1" s="1"/>
  <c r="H438" i="1"/>
  <c r="H439" i="1"/>
  <c r="H440" i="1"/>
  <c r="H441" i="1"/>
  <c r="J441" i="1" s="1"/>
  <c r="H442" i="1"/>
  <c r="H443" i="1"/>
  <c r="H444" i="1"/>
  <c r="H445" i="1"/>
  <c r="J445" i="1" s="1"/>
  <c r="H446" i="1"/>
  <c r="H447" i="1"/>
  <c r="H448" i="1"/>
  <c r="H449" i="1"/>
  <c r="J449" i="1" s="1"/>
  <c r="H450" i="1"/>
  <c r="H451" i="1"/>
  <c r="H452" i="1"/>
  <c r="H453" i="1"/>
  <c r="J453" i="1" s="1"/>
  <c r="H454" i="1"/>
  <c r="H455" i="1"/>
  <c r="H456" i="1"/>
  <c r="H457" i="1"/>
  <c r="J457" i="1" s="1"/>
  <c r="H458" i="1"/>
  <c r="H459" i="1"/>
  <c r="H460" i="1"/>
  <c r="H461" i="1"/>
  <c r="J461" i="1" s="1"/>
  <c r="H462" i="1"/>
  <c r="H463" i="1"/>
  <c r="H464" i="1"/>
  <c r="H465" i="1"/>
  <c r="J465" i="1" s="1"/>
  <c r="H466" i="1"/>
  <c r="H467" i="1"/>
  <c r="H468" i="1"/>
  <c r="H469" i="1"/>
  <c r="J469" i="1" s="1"/>
  <c r="H470" i="1"/>
  <c r="H471" i="1"/>
  <c r="H472" i="1"/>
  <c r="H473" i="1"/>
  <c r="J473" i="1" s="1"/>
  <c r="H474" i="1"/>
  <c r="H475" i="1"/>
  <c r="H476" i="1"/>
  <c r="H477" i="1"/>
  <c r="J477" i="1" s="1"/>
  <c r="H478" i="1"/>
  <c r="H479" i="1"/>
  <c r="H480" i="1"/>
  <c r="H481" i="1"/>
  <c r="J481" i="1" s="1"/>
  <c r="H482" i="1"/>
  <c r="H483" i="1"/>
  <c r="H484" i="1"/>
  <c r="H485" i="1"/>
  <c r="J485" i="1" s="1"/>
  <c r="H486" i="1"/>
  <c r="H487" i="1"/>
  <c r="H488" i="1"/>
  <c r="H489" i="1"/>
  <c r="J489" i="1" s="1"/>
  <c r="H490" i="1"/>
  <c r="H491" i="1"/>
  <c r="H492" i="1"/>
  <c r="H493" i="1"/>
  <c r="J493" i="1" s="1"/>
  <c r="H494" i="1"/>
  <c r="H495" i="1"/>
  <c r="H496" i="1"/>
  <c r="H497" i="1"/>
  <c r="J497" i="1" s="1"/>
  <c r="H498" i="1"/>
  <c r="H499" i="1"/>
  <c r="H500" i="1"/>
  <c r="H501" i="1"/>
  <c r="J501" i="1" s="1"/>
  <c r="H502" i="1"/>
  <c r="H503" i="1"/>
  <c r="H504" i="1"/>
  <c r="H505" i="1"/>
  <c r="J505" i="1" s="1"/>
  <c r="H506" i="1"/>
  <c r="H507" i="1"/>
  <c r="H508" i="1"/>
  <c r="H509" i="1"/>
  <c r="J509" i="1" s="1"/>
  <c r="H510" i="1"/>
  <c r="H511" i="1"/>
  <c r="H512" i="1"/>
  <c r="H513" i="1"/>
  <c r="J513" i="1" s="1"/>
  <c r="H514" i="1"/>
  <c r="H515" i="1"/>
  <c r="H516" i="1"/>
  <c r="H517" i="1"/>
  <c r="J517" i="1" s="1"/>
  <c r="H518" i="1"/>
  <c r="H519" i="1"/>
  <c r="H520" i="1"/>
  <c r="H521" i="1"/>
  <c r="J521" i="1" s="1"/>
  <c r="H522" i="1"/>
  <c r="H523" i="1"/>
  <c r="H524" i="1"/>
  <c r="H525" i="1"/>
  <c r="J525" i="1" s="1"/>
  <c r="H526" i="1"/>
  <c r="H527" i="1"/>
  <c r="H528" i="1"/>
  <c r="H529" i="1"/>
  <c r="J529" i="1" s="1"/>
  <c r="H530" i="1"/>
  <c r="H531" i="1"/>
  <c r="H532" i="1"/>
  <c r="H533" i="1"/>
  <c r="J533" i="1" s="1"/>
  <c r="H534" i="1"/>
  <c r="H535" i="1"/>
  <c r="H536" i="1"/>
  <c r="H537" i="1"/>
  <c r="J537" i="1" s="1"/>
  <c r="H538" i="1"/>
  <c r="H539" i="1"/>
  <c r="H540" i="1"/>
  <c r="H541" i="1"/>
  <c r="J541" i="1" s="1"/>
  <c r="H542" i="1"/>
  <c r="H543" i="1"/>
  <c r="H544" i="1"/>
  <c r="H545" i="1"/>
  <c r="J545" i="1" s="1"/>
  <c r="H546" i="1"/>
  <c r="H547" i="1"/>
  <c r="H548" i="1"/>
  <c r="H549" i="1"/>
  <c r="J549" i="1" s="1"/>
  <c r="H550" i="1"/>
  <c r="H551" i="1"/>
  <c r="H552" i="1"/>
  <c r="H553" i="1"/>
  <c r="J553" i="1" s="1"/>
  <c r="H554" i="1"/>
  <c r="H555" i="1"/>
  <c r="H556" i="1"/>
  <c r="H557" i="1"/>
  <c r="J557" i="1" s="1"/>
  <c r="H558" i="1"/>
  <c r="H559" i="1"/>
  <c r="H560" i="1"/>
  <c r="H561" i="1"/>
  <c r="J561" i="1" s="1"/>
  <c r="H562" i="1"/>
  <c r="H563" i="1"/>
  <c r="H564" i="1"/>
  <c r="H565" i="1"/>
  <c r="J565" i="1" s="1"/>
  <c r="H566" i="1"/>
  <c r="H567" i="1"/>
  <c r="H568" i="1"/>
  <c r="H569" i="1"/>
  <c r="J569" i="1" s="1"/>
  <c r="H570" i="1"/>
  <c r="H571" i="1"/>
  <c r="H572" i="1"/>
  <c r="H573" i="1"/>
  <c r="J573" i="1" s="1"/>
  <c r="H574" i="1"/>
  <c r="H575" i="1"/>
  <c r="H576" i="1"/>
  <c r="H577" i="1"/>
  <c r="J577" i="1" s="1"/>
  <c r="H578" i="1"/>
  <c r="H579" i="1"/>
  <c r="H580" i="1"/>
  <c r="H581" i="1"/>
  <c r="J581" i="1" s="1"/>
  <c r="H582" i="1"/>
  <c r="H583" i="1"/>
  <c r="H584" i="1"/>
  <c r="H585" i="1"/>
  <c r="J585" i="1" s="1"/>
  <c r="H586" i="1"/>
  <c r="H587" i="1"/>
  <c r="H588" i="1"/>
  <c r="H589" i="1"/>
  <c r="J589" i="1" s="1"/>
  <c r="H590" i="1"/>
  <c r="H591" i="1"/>
  <c r="H592" i="1"/>
  <c r="H593" i="1"/>
  <c r="J593" i="1" s="1"/>
  <c r="H594" i="1"/>
  <c r="H595" i="1"/>
  <c r="H596" i="1"/>
  <c r="H597" i="1"/>
  <c r="J597" i="1" s="1"/>
  <c r="H598" i="1"/>
  <c r="H599" i="1"/>
  <c r="H600" i="1"/>
  <c r="H601" i="1"/>
  <c r="J601" i="1" s="1"/>
  <c r="H602" i="1"/>
  <c r="H603" i="1"/>
  <c r="H604" i="1"/>
  <c r="H605" i="1"/>
  <c r="J605" i="1" s="1"/>
  <c r="H606" i="1"/>
  <c r="H607" i="1"/>
  <c r="H608" i="1"/>
  <c r="H609" i="1"/>
  <c r="J609" i="1" s="1"/>
  <c r="H610" i="1"/>
  <c r="H611" i="1"/>
  <c r="H612" i="1"/>
  <c r="H613" i="1"/>
  <c r="J613" i="1" s="1"/>
  <c r="H614" i="1"/>
  <c r="H615" i="1"/>
  <c r="H616" i="1"/>
  <c r="H617" i="1"/>
  <c r="J617" i="1" s="1"/>
  <c r="H618" i="1"/>
  <c r="H619" i="1"/>
  <c r="H620" i="1"/>
  <c r="H621" i="1"/>
  <c r="J621" i="1" s="1"/>
  <c r="H622" i="1"/>
  <c r="H623" i="1"/>
  <c r="H624" i="1"/>
  <c r="H625" i="1"/>
  <c r="J625" i="1" s="1"/>
  <c r="H626" i="1"/>
  <c r="H627" i="1"/>
  <c r="H628" i="1"/>
  <c r="H629" i="1"/>
  <c r="J629" i="1" s="1"/>
  <c r="H630" i="1"/>
  <c r="H631" i="1"/>
  <c r="H632" i="1"/>
  <c r="H633" i="1"/>
  <c r="J633" i="1" s="1"/>
  <c r="H634" i="1"/>
  <c r="H635" i="1"/>
  <c r="H636" i="1"/>
  <c r="H637" i="1"/>
  <c r="J637" i="1" s="1"/>
  <c r="H638" i="1"/>
  <c r="H639" i="1"/>
  <c r="H640" i="1"/>
  <c r="H641" i="1"/>
  <c r="J641" i="1" s="1"/>
  <c r="H642" i="1"/>
  <c r="H643" i="1"/>
  <c r="H644" i="1"/>
  <c r="H645" i="1"/>
  <c r="J645" i="1" s="1"/>
  <c r="H646" i="1"/>
  <c r="H647" i="1"/>
  <c r="H648" i="1"/>
  <c r="H649" i="1"/>
  <c r="J649" i="1" s="1"/>
  <c r="H650" i="1"/>
  <c r="H651" i="1"/>
  <c r="H652" i="1"/>
  <c r="H653" i="1"/>
  <c r="J653" i="1" s="1"/>
  <c r="H654" i="1"/>
  <c r="H655" i="1"/>
  <c r="H656" i="1"/>
  <c r="H657" i="1"/>
  <c r="J657" i="1" s="1"/>
  <c r="H658" i="1"/>
  <c r="H659" i="1"/>
  <c r="H660" i="1"/>
  <c r="H661" i="1"/>
  <c r="J661" i="1" s="1"/>
  <c r="H662" i="1"/>
  <c r="H663" i="1"/>
  <c r="H664" i="1"/>
  <c r="H665" i="1"/>
  <c r="J665" i="1" s="1"/>
  <c r="H666" i="1"/>
  <c r="H667" i="1"/>
  <c r="H668" i="1"/>
  <c r="H669" i="1"/>
  <c r="J669" i="1" s="1"/>
  <c r="H670" i="1"/>
  <c r="H671" i="1"/>
  <c r="H672" i="1"/>
  <c r="H673" i="1"/>
  <c r="J673" i="1" s="1"/>
  <c r="H674" i="1"/>
  <c r="H675" i="1"/>
  <c r="H676" i="1"/>
  <c r="H677" i="1"/>
  <c r="J677" i="1" s="1"/>
  <c r="H678" i="1"/>
  <c r="H679" i="1"/>
  <c r="H680" i="1"/>
  <c r="H681" i="1"/>
  <c r="J681" i="1" s="1"/>
  <c r="H682" i="1"/>
  <c r="H683" i="1"/>
  <c r="H684" i="1"/>
  <c r="H685" i="1"/>
  <c r="J685" i="1" s="1"/>
  <c r="H686" i="1"/>
  <c r="H687" i="1"/>
  <c r="H688" i="1"/>
  <c r="H689" i="1"/>
  <c r="J689" i="1" s="1"/>
  <c r="H690" i="1"/>
  <c r="H691" i="1"/>
  <c r="H692" i="1"/>
  <c r="H693" i="1"/>
  <c r="J693" i="1" s="1"/>
  <c r="H694" i="1"/>
  <c r="H695" i="1"/>
  <c r="H696" i="1"/>
  <c r="H697" i="1"/>
  <c r="J697" i="1" s="1"/>
  <c r="H698" i="1"/>
  <c r="H699" i="1"/>
  <c r="H700" i="1"/>
  <c r="H701" i="1"/>
  <c r="J701" i="1" s="1"/>
  <c r="H702" i="1"/>
  <c r="H703" i="1"/>
  <c r="H704" i="1"/>
  <c r="H705" i="1"/>
  <c r="J705" i="1" s="1"/>
  <c r="H706" i="1"/>
  <c r="H707" i="1"/>
  <c r="H708" i="1"/>
  <c r="H709" i="1"/>
  <c r="J709" i="1" s="1"/>
  <c r="H710" i="1"/>
  <c r="H711" i="1"/>
  <c r="H712" i="1"/>
  <c r="H713" i="1"/>
  <c r="J713" i="1" s="1"/>
  <c r="H714" i="1"/>
  <c r="H715" i="1"/>
  <c r="H716" i="1"/>
  <c r="H717" i="1"/>
  <c r="J717" i="1" s="1"/>
  <c r="H718" i="1"/>
  <c r="H719" i="1"/>
  <c r="H720" i="1"/>
  <c r="H721" i="1"/>
  <c r="J721" i="1" s="1"/>
  <c r="H722" i="1"/>
  <c r="H723" i="1"/>
  <c r="H724" i="1"/>
  <c r="H725" i="1"/>
  <c r="J725" i="1" s="1"/>
  <c r="H726" i="1"/>
  <c r="H727" i="1"/>
  <c r="H728" i="1"/>
  <c r="H729" i="1"/>
  <c r="J729" i="1" s="1"/>
  <c r="H730" i="1"/>
  <c r="H731" i="1"/>
  <c r="H732" i="1"/>
  <c r="H733" i="1"/>
  <c r="J733" i="1" s="1"/>
  <c r="H734" i="1"/>
  <c r="H735" i="1"/>
  <c r="H736" i="1"/>
  <c r="H737" i="1"/>
  <c r="J737" i="1" s="1"/>
  <c r="H738" i="1"/>
  <c r="H739" i="1"/>
  <c r="H740" i="1"/>
  <c r="H741" i="1"/>
  <c r="J741" i="1" s="1"/>
  <c r="H742" i="1"/>
  <c r="H743" i="1"/>
  <c r="H744" i="1"/>
  <c r="H745" i="1"/>
  <c r="J745" i="1" s="1"/>
  <c r="H746" i="1"/>
  <c r="H747" i="1"/>
  <c r="H748" i="1"/>
  <c r="H749" i="1"/>
  <c r="J749" i="1" s="1"/>
  <c r="H750" i="1"/>
  <c r="H751" i="1"/>
  <c r="H752" i="1"/>
  <c r="H753" i="1"/>
  <c r="J753" i="1" s="1"/>
  <c r="H754" i="1"/>
  <c r="H755" i="1"/>
  <c r="H756" i="1"/>
  <c r="H757" i="1"/>
  <c r="J757" i="1" s="1"/>
  <c r="H758" i="1"/>
  <c r="H759" i="1"/>
  <c r="H760" i="1"/>
  <c r="H761" i="1"/>
  <c r="J761" i="1" s="1"/>
  <c r="H762" i="1"/>
  <c r="H763" i="1"/>
  <c r="H764" i="1"/>
  <c r="H765" i="1"/>
  <c r="J765" i="1" s="1"/>
  <c r="H766" i="1"/>
  <c r="H767" i="1"/>
  <c r="H768" i="1"/>
  <c r="H769" i="1"/>
  <c r="J769" i="1" s="1"/>
  <c r="H770" i="1"/>
  <c r="H771" i="1"/>
  <c r="H772" i="1"/>
  <c r="H773" i="1"/>
  <c r="J773" i="1" s="1"/>
  <c r="H774" i="1"/>
  <c r="H775" i="1"/>
  <c r="H776" i="1"/>
  <c r="H777" i="1"/>
  <c r="J777" i="1" s="1"/>
  <c r="H778" i="1"/>
  <c r="H779" i="1"/>
  <c r="H780" i="1"/>
  <c r="H781" i="1"/>
  <c r="J781" i="1" s="1"/>
  <c r="H782" i="1"/>
  <c r="H783" i="1"/>
  <c r="H784" i="1"/>
  <c r="H785" i="1"/>
  <c r="J785" i="1" s="1"/>
  <c r="H786" i="1"/>
  <c r="H787" i="1"/>
  <c r="H788" i="1"/>
  <c r="H789" i="1"/>
  <c r="J789" i="1" s="1"/>
  <c r="H790" i="1"/>
  <c r="H791" i="1"/>
  <c r="H792" i="1"/>
  <c r="H793" i="1"/>
  <c r="J793" i="1" s="1"/>
  <c r="H794" i="1"/>
  <c r="H795" i="1"/>
  <c r="H796" i="1"/>
  <c r="H797" i="1"/>
  <c r="J797" i="1" s="1"/>
  <c r="H798" i="1"/>
  <c r="H799" i="1"/>
  <c r="H800" i="1"/>
  <c r="H801" i="1"/>
  <c r="J801" i="1" s="1"/>
  <c r="H802" i="1"/>
  <c r="H803" i="1"/>
  <c r="H804" i="1"/>
  <c r="H805" i="1"/>
  <c r="J805" i="1" s="1"/>
  <c r="H806" i="1"/>
  <c r="H807" i="1"/>
  <c r="H808" i="1"/>
  <c r="H809" i="1"/>
  <c r="J809" i="1" s="1"/>
  <c r="H810" i="1"/>
  <c r="H811" i="1"/>
  <c r="H812" i="1"/>
  <c r="H813" i="1"/>
  <c r="J813" i="1" s="1"/>
  <c r="H814" i="1"/>
  <c r="H815" i="1"/>
  <c r="H816" i="1"/>
  <c r="H817" i="1"/>
  <c r="J817" i="1" s="1"/>
  <c r="H818" i="1"/>
  <c r="H819" i="1"/>
  <c r="H820" i="1"/>
  <c r="H821" i="1"/>
  <c r="J821" i="1" s="1"/>
  <c r="H822" i="1"/>
  <c r="H823" i="1"/>
  <c r="H824" i="1"/>
  <c r="H825" i="1"/>
  <c r="J825" i="1" s="1"/>
  <c r="H826" i="1"/>
  <c r="H827" i="1"/>
  <c r="H828" i="1"/>
  <c r="H829" i="1"/>
  <c r="J829" i="1" s="1"/>
  <c r="H830" i="1"/>
  <c r="H831" i="1"/>
  <c r="H832" i="1"/>
  <c r="H833" i="1"/>
  <c r="J833" i="1" s="1"/>
  <c r="H834" i="1"/>
  <c r="H835" i="1"/>
  <c r="H836" i="1"/>
  <c r="H837" i="1"/>
  <c r="J837" i="1" s="1"/>
  <c r="H838" i="1"/>
  <c r="H839" i="1"/>
  <c r="H840" i="1"/>
  <c r="H841" i="1"/>
  <c r="J841" i="1" s="1"/>
  <c r="H842" i="1"/>
  <c r="H843" i="1"/>
  <c r="H844" i="1"/>
  <c r="H845" i="1"/>
  <c r="J845" i="1" s="1"/>
  <c r="H846" i="1"/>
  <c r="H847" i="1"/>
  <c r="H848" i="1"/>
  <c r="H849" i="1"/>
  <c r="J849" i="1" s="1"/>
  <c r="H850" i="1"/>
  <c r="H851" i="1"/>
  <c r="H852" i="1"/>
  <c r="H853" i="1"/>
  <c r="J853" i="1" s="1"/>
  <c r="H854" i="1"/>
  <c r="H855" i="1"/>
  <c r="H856" i="1"/>
  <c r="H857" i="1"/>
  <c r="J857" i="1" s="1"/>
  <c r="H858" i="1"/>
  <c r="H859" i="1"/>
  <c r="H860" i="1"/>
  <c r="H861" i="1"/>
  <c r="J861" i="1" s="1"/>
  <c r="H862" i="1"/>
  <c r="H863" i="1"/>
  <c r="H864" i="1"/>
  <c r="H865" i="1"/>
  <c r="J865" i="1" s="1"/>
  <c r="H866" i="1"/>
  <c r="H867" i="1"/>
  <c r="H868" i="1"/>
  <c r="H869" i="1"/>
  <c r="J869" i="1" s="1"/>
  <c r="H870" i="1"/>
  <c r="H871" i="1"/>
  <c r="H872" i="1"/>
  <c r="H873" i="1"/>
  <c r="J873" i="1" s="1"/>
  <c r="H874" i="1"/>
  <c r="H875" i="1"/>
  <c r="H876" i="1"/>
  <c r="H877" i="1"/>
  <c r="J877" i="1" s="1"/>
  <c r="H878" i="1"/>
  <c r="H879" i="1"/>
  <c r="H880" i="1"/>
  <c r="H881" i="1"/>
  <c r="J881" i="1" s="1"/>
  <c r="H882" i="1"/>
  <c r="H883" i="1"/>
  <c r="H884" i="1"/>
  <c r="H885" i="1"/>
  <c r="J885" i="1" s="1"/>
  <c r="H886" i="1"/>
  <c r="H887" i="1"/>
  <c r="H888" i="1"/>
  <c r="H889" i="1"/>
  <c r="J889" i="1" s="1"/>
  <c r="H890" i="1"/>
  <c r="H891" i="1"/>
  <c r="H892" i="1"/>
  <c r="H893" i="1"/>
  <c r="J893" i="1" s="1"/>
  <c r="H894" i="1"/>
  <c r="H895" i="1"/>
  <c r="H896" i="1"/>
  <c r="H897" i="1"/>
  <c r="J897" i="1" s="1"/>
  <c r="H898" i="1"/>
  <c r="H899" i="1"/>
  <c r="H900" i="1"/>
  <c r="H901" i="1"/>
  <c r="J901" i="1" s="1"/>
  <c r="H902" i="1"/>
  <c r="H903" i="1"/>
  <c r="H904" i="1"/>
  <c r="H905" i="1"/>
  <c r="J905" i="1" s="1"/>
  <c r="H906" i="1"/>
  <c r="H907" i="1"/>
  <c r="H908" i="1"/>
  <c r="H909" i="1"/>
  <c r="J909" i="1" s="1"/>
  <c r="H910" i="1"/>
  <c r="H911" i="1"/>
  <c r="H912" i="1"/>
  <c r="H913" i="1"/>
  <c r="J913" i="1" s="1"/>
  <c r="H914" i="1"/>
  <c r="H915" i="1"/>
  <c r="H916" i="1"/>
  <c r="H917" i="1"/>
  <c r="J917" i="1" s="1"/>
  <c r="H918" i="1"/>
  <c r="H919" i="1"/>
  <c r="H920" i="1"/>
  <c r="H921" i="1"/>
  <c r="J921" i="1" s="1"/>
  <c r="H922" i="1"/>
  <c r="H923" i="1"/>
  <c r="H924" i="1"/>
  <c r="H925" i="1"/>
  <c r="J925" i="1" s="1"/>
  <c r="H926" i="1"/>
  <c r="H927" i="1"/>
  <c r="H928" i="1"/>
  <c r="H929" i="1"/>
  <c r="J929" i="1" s="1"/>
  <c r="H930" i="1"/>
  <c r="H931" i="1"/>
  <c r="H932" i="1"/>
  <c r="H933" i="1"/>
  <c r="J933" i="1" s="1"/>
  <c r="H934" i="1"/>
  <c r="H935" i="1"/>
  <c r="H936" i="1"/>
  <c r="H937" i="1"/>
  <c r="J937" i="1" s="1"/>
  <c r="H938" i="1"/>
  <c r="H939" i="1"/>
  <c r="H940" i="1"/>
  <c r="H941" i="1"/>
  <c r="J941" i="1" s="1"/>
  <c r="H942" i="1"/>
  <c r="H943" i="1"/>
  <c r="H944" i="1"/>
  <c r="H945" i="1"/>
  <c r="J945" i="1" s="1"/>
  <c r="H946" i="1"/>
  <c r="H947" i="1"/>
  <c r="H948" i="1"/>
  <c r="H949" i="1"/>
  <c r="J949" i="1" s="1"/>
  <c r="H950" i="1"/>
  <c r="H951" i="1"/>
  <c r="H952" i="1"/>
  <c r="H953" i="1"/>
  <c r="J953" i="1" s="1"/>
  <c r="H954" i="1"/>
  <c r="H955" i="1"/>
  <c r="H956" i="1"/>
  <c r="H957" i="1"/>
  <c r="J957" i="1" s="1"/>
  <c r="H958" i="1"/>
  <c r="H959" i="1"/>
  <c r="H960" i="1"/>
  <c r="H961" i="1"/>
  <c r="J961" i="1" s="1"/>
  <c r="H962" i="1"/>
  <c r="H963" i="1"/>
  <c r="H964" i="1"/>
  <c r="H965" i="1"/>
  <c r="J965" i="1" s="1"/>
  <c r="H966" i="1"/>
  <c r="H967" i="1"/>
  <c r="H968" i="1"/>
  <c r="H969" i="1"/>
  <c r="J969" i="1" s="1"/>
  <c r="H970" i="1"/>
  <c r="H971" i="1"/>
  <c r="H972" i="1"/>
  <c r="H973" i="1"/>
  <c r="J973" i="1" s="1"/>
  <c r="H974" i="1"/>
  <c r="H975" i="1"/>
  <c r="H976" i="1"/>
  <c r="H977" i="1"/>
  <c r="J977" i="1" s="1"/>
  <c r="H978" i="1"/>
  <c r="H979" i="1"/>
  <c r="H980" i="1"/>
  <c r="H981" i="1"/>
  <c r="J981" i="1" s="1"/>
  <c r="H982" i="1"/>
  <c r="H983" i="1"/>
  <c r="H984" i="1"/>
  <c r="H985" i="1"/>
  <c r="J985" i="1" s="1"/>
  <c r="H986" i="1"/>
  <c r="H987" i="1"/>
  <c r="H988" i="1"/>
  <c r="H989" i="1"/>
  <c r="J989" i="1" s="1"/>
  <c r="H990" i="1"/>
  <c r="H991" i="1"/>
  <c r="H992" i="1"/>
  <c r="H993" i="1"/>
  <c r="J993" i="1" s="1"/>
  <c r="H994" i="1"/>
  <c r="H995" i="1"/>
  <c r="H996" i="1"/>
  <c r="H997" i="1"/>
  <c r="J997" i="1" s="1"/>
  <c r="H998" i="1"/>
  <c r="H999" i="1"/>
  <c r="H1000" i="1"/>
  <c r="H1001" i="1"/>
  <c r="J1001" i="1" s="1"/>
  <c r="H1002" i="1"/>
  <c r="H1003" i="1"/>
  <c r="H1004" i="1"/>
  <c r="H1005" i="1"/>
  <c r="J1005" i="1" s="1"/>
  <c r="H1006" i="1"/>
  <c r="H1007" i="1"/>
  <c r="H1008" i="1"/>
  <c r="H1009" i="1"/>
  <c r="J1009" i="1" s="1"/>
  <c r="H1010" i="1"/>
  <c r="H1011" i="1"/>
  <c r="H1012" i="1"/>
  <c r="H1013" i="1"/>
  <c r="J1013" i="1" s="1"/>
  <c r="H1014" i="1"/>
  <c r="H1015" i="1"/>
  <c r="H1016" i="1"/>
  <c r="H1017" i="1"/>
  <c r="J1017" i="1" s="1"/>
  <c r="H1018" i="1"/>
  <c r="H1019" i="1"/>
  <c r="H1020" i="1"/>
  <c r="H1021" i="1"/>
  <c r="J1021" i="1" s="1"/>
  <c r="H1022" i="1"/>
  <c r="H1023" i="1"/>
  <c r="H1024" i="1"/>
  <c r="H1025" i="1"/>
  <c r="J1025" i="1" s="1"/>
  <c r="H1026" i="1"/>
  <c r="H1027" i="1"/>
  <c r="H1028" i="1"/>
  <c r="H1029" i="1"/>
  <c r="J1029" i="1" s="1"/>
  <c r="H1030" i="1"/>
  <c r="H1031" i="1"/>
  <c r="H1032" i="1"/>
  <c r="H1033" i="1"/>
  <c r="J1033" i="1" s="1"/>
  <c r="H1034" i="1"/>
  <c r="H1035" i="1"/>
  <c r="H1036" i="1"/>
  <c r="H1037" i="1"/>
  <c r="J1037" i="1" s="1"/>
  <c r="H1038" i="1"/>
  <c r="H1039" i="1"/>
  <c r="H1040" i="1"/>
  <c r="H1041" i="1"/>
  <c r="J1041" i="1" s="1"/>
  <c r="H1042" i="1"/>
  <c r="H1043" i="1"/>
  <c r="H1044" i="1"/>
  <c r="H1045" i="1"/>
  <c r="J1045" i="1" s="1"/>
  <c r="H1046" i="1"/>
  <c r="H1047" i="1"/>
  <c r="H1048" i="1"/>
  <c r="H1049" i="1"/>
  <c r="J1049" i="1" s="1"/>
  <c r="H1050" i="1"/>
  <c r="H1051" i="1"/>
  <c r="H1052" i="1"/>
  <c r="H1053" i="1"/>
  <c r="J1053" i="1" s="1"/>
  <c r="H1054" i="1"/>
  <c r="J45" i="1"/>
  <c r="J109" i="1"/>
  <c r="J173" i="1"/>
  <c r="J237" i="1"/>
  <c r="J3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2" i="1"/>
  <c r="J3" i="1"/>
  <c r="J4" i="1"/>
  <c r="J6" i="1"/>
  <c r="J7" i="1"/>
  <c r="J8" i="1"/>
  <c r="J10" i="1"/>
  <c r="J11" i="1"/>
  <c r="J12" i="1"/>
  <c r="J14" i="1"/>
  <c r="J15" i="1"/>
  <c r="J16" i="1"/>
  <c r="J18" i="1"/>
  <c r="J19" i="1"/>
  <c r="J20" i="1"/>
  <c r="J22" i="1"/>
  <c r="J23" i="1"/>
  <c r="J24" i="1"/>
  <c r="J26" i="1"/>
  <c r="J27" i="1"/>
  <c r="J28" i="1"/>
  <c r="J30" i="1"/>
  <c r="J31" i="1"/>
  <c r="J32" i="1"/>
  <c r="J34" i="1"/>
  <c r="J35" i="1"/>
  <c r="J36" i="1"/>
  <c r="J38" i="1"/>
  <c r="J39" i="1"/>
  <c r="J40" i="1"/>
  <c r="J42" i="1"/>
  <c r="J43" i="1"/>
  <c r="J44" i="1"/>
  <c r="J46" i="1"/>
  <c r="J47" i="1"/>
  <c r="J48" i="1"/>
  <c r="J50" i="1"/>
  <c r="J51" i="1"/>
  <c r="J52" i="1"/>
  <c r="J54" i="1"/>
  <c r="J55" i="1"/>
  <c r="J56" i="1"/>
  <c r="J58" i="1"/>
  <c r="J59" i="1"/>
  <c r="J60" i="1"/>
  <c r="J62" i="1"/>
  <c r="J63" i="1"/>
  <c r="J64" i="1"/>
  <c r="J66" i="1"/>
  <c r="J67" i="1"/>
  <c r="J68" i="1"/>
  <c r="J70" i="1"/>
  <c r="J71" i="1"/>
  <c r="J72" i="1"/>
  <c r="J74" i="1"/>
  <c r="J75" i="1"/>
  <c r="J76" i="1"/>
  <c r="J78" i="1"/>
  <c r="J79" i="1"/>
  <c r="J80" i="1"/>
  <c r="J82" i="1"/>
  <c r="J83" i="1"/>
  <c r="J84" i="1"/>
  <c r="J86" i="1"/>
  <c r="J87" i="1"/>
  <c r="J88" i="1"/>
  <c r="J90" i="1"/>
  <c r="J91" i="1"/>
  <c r="J92" i="1"/>
  <c r="J94" i="1"/>
  <c r="J95" i="1"/>
  <c r="J96" i="1"/>
  <c r="J98" i="1"/>
  <c r="J99" i="1"/>
  <c r="J100" i="1"/>
  <c r="J102" i="1"/>
  <c r="J103" i="1"/>
  <c r="J104" i="1"/>
  <c r="J106" i="1"/>
  <c r="J107" i="1"/>
  <c r="J108" i="1"/>
  <c r="J110" i="1"/>
  <c r="J111" i="1"/>
  <c r="J112" i="1"/>
  <c r="J114" i="1"/>
  <c r="J115" i="1"/>
  <c r="J116" i="1"/>
  <c r="J118" i="1"/>
  <c r="J119" i="1"/>
  <c r="J120" i="1"/>
  <c r="J122" i="1"/>
  <c r="J123" i="1"/>
  <c r="J124" i="1"/>
  <c r="J126" i="1"/>
  <c r="J127" i="1"/>
  <c r="J128" i="1"/>
  <c r="J130" i="1"/>
  <c r="J131" i="1"/>
  <c r="J132" i="1"/>
  <c r="J134" i="1"/>
  <c r="J135" i="1"/>
  <c r="J136" i="1"/>
  <c r="J138" i="1"/>
  <c r="J139" i="1"/>
  <c r="J140" i="1"/>
  <c r="J142" i="1"/>
  <c r="J143" i="1"/>
  <c r="J144" i="1"/>
  <c r="J146" i="1"/>
  <c r="J147" i="1"/>
  <c r="J148" i="1"/>
  <c r="J150" i="1"/>
  <c r="J151" i="1"/>
  <c r="J152" i="1"/>
  <c r="J154" i="1"/>
  <c r="J155" i="1"/>
  <c r="J156" i="1"/>
  <c r="J158" i="1"/>
  <c r="J159" i="1"/>
  <c r="J160" i="1"/>
  <c r="J162" i="1"/>
  <c r="J163" i="1"/>
  <c r="J164" i="1"/>
  <c r="J166" i="1"/>
  <c r="J167" i="1"/>
  <c r="J168" i="1"/>
  <c r="J170" i="1"/>
  <c r="J171" i="1"/>
  <c r="J172" i="1"/>
  <c r="J174" i="1"/>
  <c r="J175" i="1"/>
  <c r="J176" i="1"/>
  <c r="J178" i="1"/>
  <c r="J179" i="1"/>
  <c r="J180" i="1"/>
  <c r="J182" i="1"/>
  <c r="J183" i="1"/>
  <c r="J184" i="1"/>
  <c r="J186" i="1"/>
  <c r="J187" i="1"/>
  <c r="J188" i="1"/>
  <c r="J190" i="1"/>
  <c r="J191" i="1"/>
  <c r="J192" i="1"/>
  <c r="J194" i="1"/>
  <c r="J195" i="1"/>
  <c r="J196" i="1"/>
  <c r="J198" i="1"/>
  <c r="J199" i="1"/>
  <c r="J200" i="1"/>
  <c r="J202" i="1"/>
  <c r="J203" i="1"/>
  <c r="J204" i="1"/>
  <c r="J206" i="1"/>
  <c r="J207" i="1"/>
  <c r="J208" i="1"/>
  <c r="J210" i="1"/>
  <c r="J211" i="1"/>
  <c r="J212" i="1"/>
  <c r="J214" i="1"/>
  <c r="J215" i="1"/>
  <c r="J216" i="1"/>
  <c r="J218" i="1"/>
  <c r="J219" i="1"/>
  <c r="J220" i="1"/>
  <c r="J222" i="1"/>
  <c r="J223" i="1"/>
  <c r="J224" i="1"/>
  <c r="J226" i="1"/>
  <c r="J227" i="1"/>
  <c r="J228" i="1"/>
  <c r="J230" i="1"/>
  <c r="J231" i="1"/>
  <c r="J232" i="1"/>
  <c r="J234" i="1"/>
  <c r="J235" i="1"/>
  <c r="J236" i="1"/>
  <c r="J238" i="1"/>
  <c r="J239" i="1"/>
  <c r="J240" i="1"/>
  <c r="J242" i="1"/>
  <c r="J243" i="1"/>
  <c r="J244" i="1"/>
  <c r="J246" i="1"/>
  <c r="J247" i="1"/>
  <c r="J248" i="1"/>
  <c r="J250" i="1"/>
  <c r="J251" i="1"/>
  <c r="J252" i="1"/>
  <c r="J254" i="1"/>
  <c r="J255" i="1"/>
  <c r="J256" i="1"/>
  <c r="J258" i="1"/>
  <c r="J259" i="1"/>
  <c r="J260" i="1"/>
  <c r="J262" i="1"/>
  <c r="J263" i="1"/>
  <c r="J264" i="1"/>
  <c r="J266" i="1"/>
  <c r="J267" i="1"/>
  <c r="J268" i="1"/>
  <c r="J270" i="1"/>
  <c r="J271" i="1"/>
  <c r="J272" i="1"/>
  <c r="J274" i="1"/>
  <c r="J275" i="1"/>
  <c r="J276" i="1"/>
  <c r="J278" i="1"/>
  <c r="J279" i="1"/>
  <c r="J280" i="1"/>
  <c r="J282" i="1"/>
  <c r="J283" i="1"/>
  <c r="J284" i="1"/>
  <c r="J286" i="1"/>
  <c r="J287" i="1"/>
  <c r="J288" i="1"/>
  <c r="J290" i="1"/>
  <c r="J291" i="1"/>
  <c r="J292" i="1"/>
  <c r="J294" i="1"/>
  <c r="J295" i="1"/>
  <c r="J296" i="1"/>
  <c r="J298" i="1"/>
  <c r="J299" i="1"/>
  <c r="J300" i="1"/>
  <c r="J302" i="1"/>
  <c r="J303" i="1"/>
  <c r="J304" i="1"/>
  <c r="J306" i="1"/>
  <c r="J307" i="1"/>
  <c r="J308" i="1"/>
  <c r="J310" i="1"/>
  <c r="J311" i="1"/>
  <c r="J312" i="1"/>
  <c r="J314" i="1"/>
  <c r="J315" i="1"/>
  <c r="J316" i="1"/>
  <c r="J318" i="1"/>
  <c r="J319" i="1"/>
  <c r="J320" i="1"/>
  <c r="J322" i="1"/>
  <c r="J323" i="1"/>
  <c r="J324" i="1"/>
  <c r="J326" i="1"/>
  <c r="J327" i="1"/>
  <c r="J328" i="1"/>
  <c r="J330" i="1"/>
  <c r="J331" i="1"/>
  <c r="J332" i="1"/>
  <c r="J334" i="1"/>
  <c r="J335" i="1"/>
  <c r="J336" i="1"/>
  <c r="J338" i="1"/>
  <c r="J339" i="1"/>
  <c r="J340" i="1"/>
  <c r="J342" i="1"/>
  <c r="J343" i="1"/>
  <c r="J344" i="1"/>
  <c r="J346" i="1"/>
  <c r="J347" i="1"/>
  <c r="J348" i="1"/>
  <c r="J350" i="1"/>
  <c r="J351" i="1"/>
  <c r="J352" i="1"/>
  <c r="J354" i="1"/>
  <c r="J355" i="1"/>
  <c r="J356" i="1"/>
  <c r="J358" i="1"/>
  <c r="J359" i="1"/>
  <c r="J360" i="1"/>
  <c r="J362" i="1"/>
  <c r="J363" i="1"/>
  <c r="J364" i="1"/>
  <c r="J366" i="1"/>
  <c r="J367" i="1"/>
  <c r="J368" i="1"/>
  <c r="J370" i="1"/>
  <c r="J371" i="1"/>
  <c r="J372" i="1"/>
  <c r="J374" i="1"/>
  <c r="J375" i="1"/>
  <c r="J376" i="1"/>
  <c r="J378" i="1"/>
  <c r="J379" i="1"/>
  <c r="J380" i="1"/>
  <c r="J382" i="1"/>
  <c r="J383" i="1"/>
  <c r="J384" i="1"/>
  <c r="J386" i="1"/>
  <c r="J387" i="1"/>
  <c r="J388" i="1"/>
  <c r="J390" i="1"/>
  <c r="J391" i="1"/>
  <c r="J392" i="1"/>
  <c r="J394" i="1"/>
  <c r="J395" i="1"/>
  <c r="J396" i="1"/>
  <c r="J398" i="1"/>
  <c r="J399" i="1"/>
  <c r="J400" i="1"/>
  <c r="J402" i="1"/>
  <c r="J403" i="1"/>
  <c r="J404" i="1"/>
  <c r="J406" i="1"/>
  <c r="J407" i="1"/>
  <c r="J408" i="1"/>
  <c r="J410" i="1"/>
  <c r="J411" i="1"/>
  <c r="J412" i="1"/>
  <c r="J414" i="1"/>
  <c r="J415" i="1"/>
  <c r="J416" i="1"/>
  <c r="J418" i="1"/>
  <c r="J419" i="1"/>
  <c r="J420" i="1"/>
  <c r="J422" i="1"/>
  <c r="J423" i="1"/>
  <c r="J424" i="1"/>
  <c r="J426" i="1"/>
  <c r="J427" i="1"/>
  <c r="J428" i="1"/>
  <c r="J430" i="1"/>
  <c r="J431" i="1"/>
  <c r="J432" i="1"/>
  <c r="J434" i="1"/>
  <c r="J435" i="1"/>
  <c r="J436" i="1"/>
  <c r="J438" i="1"/>
  <c r="J439" i="1"/>
  <c r="J440" i="1"/>
  <c r="J442" i="1"/>
  <c r="J443" i="1"/>
  <c r="J444" i="1"/>
  <c r="J446" i="1"/>
  <c r="J447" i="1"/>
  <c r="J448" i="1"/>
  <c r="J450" i="1"/>
  <c r="J451" i="1"/>
  <c r="J452" i="1"/>
  <c r="J454" i="1"/>
  <c r="J455" i="1"/>
  <c r="J456" i="1"/>
  <c r="J458" i="1"/>
  <c r="J459" i="1"/>
  <c r="J460" i="1"/>
  <c r="J462" i="1"/>
  <c r="J463" i="1"/>
  <c r="J464" i="1"/>
  <c r="J466" i="1"/>
  <c r="J467" i="1"/>
  <c r="J468" i="1"/>
  <c r="J470" i="1"/>
  <c r="J471" i="1"/>
  <c r="J472" i="1"/>
  <c r="J474" i="1"/>
  <c r="J475" i="1"/>
  <c r="J476" i="1"/>
  <c r="J478" i="1"/>
  <c r="J479" i="1"/>
  <c r="J480" i="1"/>
  <c r="J482" i="1"/>
  <c r="J483" i="1"/>
  <c r="J484" i="1"/>
  <c r="J486" i="1"/>
  <c r="J487" i="1"/>
  <c r="J488" i="1"/>
  <c r="J490" i="1"/>
  <c r="J491" i="1"/>
  <c r="J492" i="1"/>
  <c r="J494" i="1"/>
  <c r="J495" i="1"/>
  <c r="J496" i="1"/>
  <c r="J498" i="1"/>
  <c r="J499" i="1"/>
  <c r="J500" i="1"/>
  <c r="J502" i="1"/>
  <c r="J503" i="1"/>
  <c r="J504" i="1"/>
  <c r="J506" i="1"/>
  <c r="J507" i="1"/>
  <c r="J508" i="1"/>
  <c r="J510" i="1"/>
  <c r="J511" i="1"/>
  <c r="J512" i="1"/>
  <c r="J514" i="1"/>
  <c r="J515" i="1"/>
  <c r="J516" i="1"/>
  <c r="J518" i="1"/>
  <c r="J519" i="1"/>
  <c r="J520" i="1"/>
  <c r="J522" i="1"/>
  <c r="J523" i="1"/>
  <c r="J524" i="1"/>
  <c r="J526" i="1"/>
  <c r="J527" i="1"/>
  <c r="J528" i="1"/>
  <c r="J530" i="1"/>
  <c r="J531" i="1"/>
  <c r="J532" i="1"/>
  <c r="J534" i="1"/>
  <c r="J535" i="1"/>
  <c r="J536" i="1"/>
  <c r="J538" i="1"/>
  <c r="J539" i="1"/>
  <c r="J540" i="1"/>
  <c r="J542" i="1"/>
  <c r="J543" i="1"/>
  <c r="J544" i="1"/>
  <c r="J546" i="1"/>
  <c r="J547" i="1"/>
  <c r="J548" i="1"/>
  <c r="J550" i="1"/>
  <c r="J551" i="1"/>
  <c r="J552" i="1"/>
  <c r="J554" i="1"/>
  <c r="J555" i="1"/>
  <c r="J556" i="1"/>
  <c r="J558" i="1"/>
  <c r="J559" i="1"/>
  <c r="J560" i="1"/>
  <c r="J562" i="1"/>
  <c r="J563" i="1"/>
  <c r="J564" i="1"/>
  <c r="J566" i="1"/>
  <c r="J567" i="1"/>
  <c r="J568" i="1"/>
  <c r="J570" i="1"/>
  <c r="J571" i="1"/>
  <c r="J572" i="1"/>
  <c r="J574" i="1"/>
  <c r="J575" i="1"/>
  <c r="J576" i="1"/>
  <c r="J578" i="1"/>
  <c r="J579" i="1"/>
  <c r="J580" i="1"/>
  <c r="J582" i="1"/>
  <c r="J583" i="1"/>
  <c r="J584" i="1"/>
  <c r="J586" i="1"/>
  <c r="J587" i="1"/>
  <c r="J588" i="1"/>
  <c r="J590" i="1"/>
  <c r="J591" i="1"/>
  <c r="J592" i="1"/>
  <c r="J594" i="1"/>
  <c r="J595" i="1"/>
  <c r="J596" i="1"/>
  <c r="J598" i="1"/>
  <c r="J599" i="1"/>
  <c r="J600" i="1"/>
  <c r="J602" i="1"/>
  <c r="J603" i="1"/>
  <c r="J604" i="1"/>
  <c r="J606" i="1"/>
  <c r="J607" i="1"/>
  <c r="J608" i="1"/>
  <c r="J610" i="1"/>
  <c r="J611" i="1"/>
  <c r="J612" i="1"/>
  <c r="J614" i="1"/>
  <c r="J615" i="1"/>
  <c r="J616" i="1"/>
  <c r="J618" i="1"/>
  <c r="J619" i="1"/>
  <c r="J620" i="1"/>
  <c r="J622" i="1"/>
  <c r="J623" i="1"/>
  <c r="J624" i="1"/>
  <c r="J626" i="1"/>
  <c r="J627" i="1"/>
  <c r="J628" i="1"/>
  <c r="J630" i="1"/>
  <c r="J631" i="1"/>
  <c r="J632" i="1"/>
  <c r="J634" i="1"/>
  <c r="J635" i="1"/>
  <c r="J636" i="1"/>
  <c r="J638" i="1"/>
  <c r="J639" i="1"/>
  <c r="J640" i="1"/>
  <c r="J642" i="1"/>
  <c r="J643" i="1"/>
  <c r="J644" i="1"/>
  <c r="J646" i="1"/>
  <c r="J647" i="1"/>
  <c r="J648" i="1"/>
  <c r="J650" i="1"/>
  <c r="J651" i="1"/>
  <c r="J652" i="1"/>
  <c r="J654" i="1"/>
  <c r="J655" i="1"/>
  <c r="J656" i="1"/>
  <c r="J658" i="1"/>
  <c r="J659" i="1"/>
  <c r="J660" i="1"/>
  <c r="J662" i="1"/>
  <c r="J663" i="1"/>
  <c r="J664" i="1"/>
  <c r="J666" i="1"/>
  <c r="J667" i="1"/>
  <c r="J668" i="1"/>
  <c r="J670" i="1"/>
  <c r="J671" i="1"/>
  <c r="J672" i="1"/>
  <c r="J674" i="1"/>
  <c r="J675" i="1"/>
  <c r="J676" i="1"/>
  <c r="J678" i="1"/>
  <c r="J679" i="1"/>
  <c r="J680" i="1"/>
  <c r="J682" i="1"/>
  <c r="J683" i="1"/>
  <c r="J684" i="1"/>
  <c r="J686" i="1"/>
  <c r="J687" i="1"/>
  <c r="J688" i="1"/>
  <c r="J690" i="1"/>
  <c r="J691" i="1"/>
  <c r="J692" i="1"/>
  <c r="J694" i="1"/>
  <c r="J695" i="1"/>
  <c r="J696" i="1"/>
  <c r="J698" i="1"/>
  <c r="J699" i="1"/>
  <c r="J700" i="1"/>
  <c r="J702" i="1"/>
  <c r="J703" i="1"/>
  <c r="J704" i="1"/>
  <c r="J706" i="1"/>
  <c r="J707" i="1"/>
  <c r="J708" i="1"/>
  <c r="J710" i="1"/>
  <c r="J711" i="1"/>
  <c r="J712" i="1"/>
  <c r="J714" i="1"/>
  <c r="J715" i="1"/>
  <c r="J716" i="1"/>
  <c r="J718" i="1"/>
  <c r="J719" i="1"/>
  <c r="J720" i="1"/>
  <c r="J722" i="1"/>
  <c r="J723" i="1"/>
  <c r="J724" i="1"/>
  <c r="J726" i="1"/>
  <c r="J727" i="1"/>
  <c r="J728" i="1"/>
  <c r="J730" i="1"/>
  <c r="J731" i="1"/>
  <c r="J732" i="1"/>
  <c r="J734" i="1"/>
  <c r="J735" i="1"/>
  <c r="J736" i="1"/>
  <c r="J738" i="1"/>
  <c r="J739" i="1"/>
  <c r="J740" i="1"/>
  <c r="J742" i="1"/>
  <c r="J743" i="1"/>
  <c r="J744" i="1"/>
  <c r="J746" i="1"/>
  <c r="J747" i="1"/>
  <c r="J748" i="1"/>
  <c r="J750" i="1"/>
  <c r="J751" i="1"/>
  <c r="J752" i="1"/>
  <c r="J754" i="1"/>
  <c r="J755" i="1"/>
  <c r="J756" i="1"/>
  <c r="J758" i="1"/>
  <c r="J759" i="1"/>
  <c r="J760" i="1"/>
  <c r="J762" i="1"/>
  <c r="J763" i="1"/>
  <c r="J764" i="1"/>
  <c r="J766" i="1"/>
  <c r="J767" i="1"/>
  <c r="J768" i="1"/>
  <c r="J770" i="1"/>
  <c r="J771" i="1"/>
  <c r="J772" i="1"/>
  <c r="J774" i="1"/>
  <c r="J775" i="1"/>
  <c r="J776" i="1"/>
  <c r="J778" i="1"/>
  <c r="J779" i="1"/>
  <c r="J780" i="1"/>
  <c r="J782" i="1"/>
  <c r="J783" i="1"/>
  <c r="J784" i="1"/>
  <c r="J786" i="1"/>
  <c r="J787" i="1"/>
  <c r="J788" i="1"/>
  <c r="J790" i="1"/>
  <c r="J791" i="1"/>
  <c r="J792" i="1"/>
  <c r="J794" i="1"/>
  <c r="J795" i="1"/>
  <c r="J796" i="1"/>
  <c r="J798" i="1"/>
  <c r="J799" i="1"/>
  <c r="J800" i="1"/>
  <c r="J802" i="1"/>
  <c r="J803" i="1"/>
  <c r="J804" i="1"/>
  <c r="J806" i="1"/>
  <c r="J807" i="1"/>
  <c r="J808" i="1"/>
  <c r="J810" i="1"/>
  <c r="J811" i="1"/>
  <c r="J812" i="1"/>
  <c r="J814" i="1"/>
  <c r="J815" i="1"/>
  <c r="J816" i="1"/>
  <c r="J818" i="1"/>
  <c r="J819" i="1"/>
  <c r="J820" i="1"/>
  <c r="J822" i="1"/>
  <c r="J823" i="1"/>
  <c r="J824" i="1"/>
  <c r="J826" i="1"/>
  <c r="J827" i="1"/>
  <c r="J828" i="1"/>
  <c r="J830" i="1"/>
  <c r="J831" i="1"/>
  <c r="J832" i="1"/>
  <c r="J834" i="1"/>
  <c r="J835" i="1"/>
  <c r="J836" i="1"/>
  <c r="J838" i="1"/>
  <c r="J839" i="1"/>
  <c r="J840" i="1"/>
  <c r="J842" i="1"/>
  <c r="J843" i="1"/>
  <c r="J844" i="1"/>
  <c r="J846" i="1"/>
  <c r="J847" i="1"/>
  <c r="J848" i="1"/>
  <c r="J850" i="1"/>
  <c r="J851" i="1"/>
  <c r="J852" i="1"/>
  <c r="J854" i="1"/>
  <c r="J855" i="1"/>
  <c r="J856" i="1"/>
  <c r="J858" i="1"/>
  <c r="J859" i="1"/>
  <c r="J860" i="1"/>
  <c r="J862" i="1"/>
  <c r="J863" i="1"/>
  <c r="J864" i="1"/>
  <c r="J866" i="1"/>
  <c r="J867" i="1"/>
  <c r="J868" i="1"/>
  <c r="J870" i="1"/>
  <c r="J871" i="1"/>
  <c r="J872" i="1"/>
  <c r="J874" i="1"/>
  <c r="J875" i="1"/>
  <c r="J876" i="1"/>
  <c r="J878" i="1"/>
  <c r="J879" i="1"/>
  <c r="J880" i="1"/>
  <c r="J882" i="1"/>
  <c r="J883" i="1"/>
  <c r="J884" i="1"/>
  <c r="J886" i="1"/>
  <c r="J887" i="1"/>
  <c r="J888" i="1"/>
  <c r="J890" i="1"/>
  <c r="J891" i="1"/>
  <c r="J892" i="1"/>
  <c r="J894" i="1"/>
  <c r="J895" i="1"/>
  <c r="J896" i="1"/>
  <c r="J898" i="1"/>
  <c r="J899" i="1"/>
  <c r="J900" i="1"/>
  <c r="J902" i="1"/>
  <c r="J903" i="1"/>
  <c r="J904" i="1"/>
  <c r="J906" i="1"/>
  <c r="J907" i="1"/>
  <c r="J908" i="1"/>
  <c r="J910" i="1"/>
  <c r="J911" i="1"/>
  <c r="J912" i="1"/>
  <c r="J914" i="1"/>
  <c r="J915" i="1"/>
  <c r="J916" i="1"/>
  <c r="J918" i="1"/>
  <c r="J919" i="1"/>
  <c r="J920" i="1"/>
  <c r="J922" i="1"/>
  <c r="J923" i="1"/>
  <c r="J924" i="1"/>
  <c r="J926" i="1"/>
  <c r="J927" i="1"/>
  <c r="J928" i="1"/>
  <c r="J930" i="1"/>
  <c r="J931" i="1"/>
  <c r="J932" i="1"/>
  <c r="J934" i="1"/>
  <c r="J935" i="1"/>
  <c r="J936" i="1"/>
  <c r="J938" i="1"/>
  <c r="J939" i="1"/>
  <c r="J940" i="1"/>
  <c r="J942" i="1"/>
  <c r="J943" i="1"/>
  <c r="J944" i="1"/>
  <c r="J946" i="1"/>
  <c r="J947" i="1"/>
  <c r="J948" i="1"/>
  <c r="J950" i="1"/>
  <c r="J951" i="1"/>
  <c r="J952" i="1"/>
  <c r="J954" i="1"/>
  <c r="J955" i="1"/>
  <c r="J956" i="1"/>
  <c r="J958" i="1"/>
  <c r="J959" i="1"/>
  <c r="J960" i="1"/>
  <c r="J962" i="1"/>
  <c r="J963" i="1"/>
  <c r="J964" i="1"/>
  <c r="J966" i="1"/>
  <c r="J967" i="1"/>
  <c r="J968" i="1"/>
  <c r="J970" i="1"/>
  <c r="J971" i="1"/>
  <c r="J972" i="1"/>
  <c r="J974" i="1"/>
  <c r="J975" i="1"/>
  <c r="J976" i="1"/>
  <c r="J978" i="1"/>
  <c r="J979" i="1"/>
  <c r="J980" i="1"/>
  <c r="J982" i="1"/>
  <c r="J983" i="1"/>
  <c r="J984" i="1"/>
  <c r="J986" i="1"/>
  <c r="J987" i="1"/>
  <c r="J988" i="1"/>
  <c r="J990" i="1"/>
  <c r="J991" i="1"/>
  <c r="J992" i="1"/>
  <c r="J994" i="1"/>
  <c r="J995" i="1"/>
  <c r="J996" i="1"/>
  <c r="J998" i="1"/>
  <c r="J999" i="1"/>
  <c r="J1000" i="1"/>
  <c r="J1002" i="1"/>
  <c r="J1003" i="1"/>
  <c r="J1004" i="1"/>
  <c r="J1006" i="1"/>
  <c r="J1007" i="1"/>
  <c r="J1008" i="1"/>
  <c r="J1010" i="1"/>
  <c r="J1011" i="1"/>
  <c r="J1012" i="1"/>
  <c r="J1014" i="1"/>
  <c r="J1015" i="1"/>
  <c r="J1016" i="1"/>
  <c r="J1018" i="1"/>
  <c r="J1019" i="1"/>
  <c r="J1020" i="1"/>
  <c r="J1022" i="1"/>
  <c r="J1023" i="1"/>
  <c r="J1024" i="1"/>
  <c r="J1026" i="1"/>
  <c r="J1027" i="1"/>
  <c r="J1028" i="1"/>
  <c r="J1030" i="1"/>
  <c r="J1031" i="1"/>
  <c r="J1032" i="1"/>
  <c r="J1034" i="1"/>
  <c r="J1035" i="1"/>
  <c r="J1036" i="1"/>
  <c r="J1038" i="1"/>
  <c r="J1039" i="1"/>
  <c r="J1040" i="1"/>
  <c r="J1042" i="1"/>
  <c r="J1043" i="1"/>
  <c r="J1044" i="1"/>
  <c r="J1046" i="1"/>
  <c r="J1047" i="1"/>
  <c r="J1048" i="1"/>
  <c r="J1050" i="1"/>
  <c r="J1051" i="1"/>
  <c r="J1052" i="1"/>
  <c r="J105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2" i="1"/>
  <c r="J1055" i="1" l="1"/>
</calcChain>
</file>

<file path=xl/sharedStrings.xml><?xml version="1.0" encoding="utf-8"?>
<sst xmlns="http://schemas.openxmlformats.org/spreadsheetml/2006/main" count="644" uniqueCount="644">
  <si>
    <t>Date</t>
  </si>
  <si>
    <t>Sales</t>
  </si>
  <si>
    <t>Cost Of Sales</t>
  </si>
  <si>
    <t>Quantity Sold</t>
  </si>
  <si>
    <t>30/12/2013</t>
  </si>
  <si>
    <t>31/12/2013</t>
  </si>
  <si>
    <t>13/1/2014</t>
  </si>
  <si>
    <t>14/1/2014</t>
  </si>
  <si>
    <t>15/1/2014</t>
  </si>
  <si>
    <t>16/1/2014</t>
  </si>
  <si>
    <t>17/1/2014</t>
  </si>
  <si>
    <t>18/1/2014</t>
  </si>
  <si>
    <t>19/1/2014</t>
  </si>
  <si>
    <t>20/1/2014</t>
  </si>
  <si>
    <t>21/1/2014</t>
  </si>
  <si>
    <t>22/1/2014</t>
  </si>
  <si>
    <t>23/1/2014</t>
  </si>
  <si>
    <t>24/1/2014</t>
  </si>
  <si>
    <t>25/1/2014</t>
  </si>
  <si>
    <t>26/1/2014</t>
  </si>
  <si>
    <t>27/1/2014</t>
  </si>
  <si>
    <t>28/1/2014</t>
  </si>
  <si>
    <t>29/1/2014</t>
  </si>
  <si>
    <t>30/1/2014</t>
  </si>
  <si>
    <t>31/1/2014</t>
  </si>
  <si>
    <t>13/2/2014</t>
  </si>
  <si>
    <t>14/2/2014</t>
  </si>
  <si>
    <t>15/2/2014</t>
  </si>
  <si>
    <t>16/2/2014</t>
  </si>
  <si>
    <t>17/2/2014</t>
  </si>
  <si>
    <t>18/2/2014</t>
  </si>
  <si>
    <t>19/2/2014</t>
  </si>
  <si>
    <t>20/2/2014</t>
  </si>
  <si>
    <t>21/2/2014</t>
  </si>
  <si>
    <t>22/2/2014</t>
  </si>
  <si>
    <t>23/2/2014</t>
  </si>
  <si>
    <t>24/2/2014</t>
  </si>
  <si>
    <t>25/2/2014</t>
  </si>
  <si>
    <t>26/2/2014</t>
  </si>
  <si>
    <t>27/2/2014</t>
  </si>
  <si>
    <t>28/2/2014</t>
  </si>
  <si>
    <t>13/3/2014</t>
  </si>
  <si>
    <t>14/3/2014</t>
  </si>
  <si>
    <t>15/3/2014</t>
  </si>
  <si>
    <t>16/3/2014</t>
  </si>
  <si>
    <t>17/3/2014</t>
  </si>
  <si>
    <t>18/3/2014</t>
  </si>
  <si>
    <t>19/3/2014</t>
  </si>
  <si>
    <t>20/3/2014</t>
  </si>
  <si>
    <t>21/3/2014</t>
  </si>
  <si>
    <t>22/3/2014</t>
  </si>
  <si>
    <t>23/3/2014</t>
  </si>
  <si>
    <t>24/3/2014</t>
  </si>
  <si>
    <t>25/3/2014</t>
  </si>
  <si>
    <t>26/3/2014</t>
  </si>
  <si>
    <t>27/3/2014</t>
  </si>
  <si>
    <t>28/3/2014</t>
  </si>
  <si>
    <t>29/3/2014</t>
  </si>
  <si>
    <t>30/3/2014</t>
  </si>
  <si>
    <t>31/3/2014</t>
  </si>
  <si>
    <t>13/4/2014</t>
  </si>
  <si>
    <t>14/4/2014</t>
  </si>
  <si>
    <t>15/4/2014</t>
  </si>
  <si>
    <t>16/4/2014</t>
  </si>
  <si>
    <t>17/4/2014</t>
  </si>
  <si>
    <t>18/4/2014</t>
  </si>
  <si>
    <t>19/4/2014</t>
  </si>
  <si>
    <t>20/4/2014</t>
  </si>
  <si>
    <t>21/4/2014</t>
  </si>
  <si>
    <t>22/4/2014</t>
  </si>
  <si>
    <t>23/4/2014</t>
  </si>
  <si>
    <t>24/4/2014</t>
  </si>
  <si>
    <t>25/4/2014</t>
  </si>
  <si>
    <t>26/4/2014</t>
  </si>
  <si>
    <t>27/4/2014</t>
  </si>
  <si>
    <t>28/4/2014</t>
  </si>
  <si>
    <t>29/4/2014</t>
  </si>
  <si>
    <t>30/4/2014</t>
  </si>
  <si>
    <t>13/5/2014</t>
  </si>
  <si>
    <t>14/5/2014</t>
  </si>
  <si>
    <t>15/5/2014</t>
  </si>
  <si>
    <t>16/5/2014</t>
  </si>
  <si>
    <t>17/5/2014</t>
  </si>
  <si>
    <t>18/5/2014</t>
  </si>
  <si>
    <t>19/5/2014</t>
  </si>
  <si>
    <t>20/5/2014</t>
  </si>
  <si>
    <t>21/5/2014</t>
  </si>
  <si>
    <t>22/5/2014</t>
  </si>
  <si>
    <t>23/5/2014</t>
  </si>
  <si>
    <t>24/5/2014</t>
  </si>
  <si>
    <t>25/5/2014</t>
  </si>
  <si>
    <t>26/5/2014</t>
  </si>
  <si>
    <t>27/5/2014</t>
  </si>
  <si>
    <t>28/5/2014</t>
  </si>
  <si>
    <t>29/5/2014</t>
  </si>
  <si>
    <t>30/5/2014</t>
  </si>
  <si>
    <t>31/5/2014</t>
  </si>
  <si>
    <t>13/6/2014</t>
  </si>
  <si>
    <t>14/6/2014</t>
  </si>
  <si>
    <t>15/6/2014</t>
  </si>
  <si>
    <t>16/6/2014</t>
  </si>
  <si>
    <t>17/6/2014</t>
  </si>
  <si>
    <t>18/6/2014</t>
  </si>
  <si>
    <t>19/6/2014</t>
  </si>
  <si>
    <t>20/6/2014</t>
  </si>
  <si>
    <t>21/6/2014</t>
  </si>
  <si>
    <t>22/6/2014</t>
  </si>
  <si>
    <t>23/6/2014</t>
  </si>
  <si>
    <t>24/6/2014</t>
  </si>
  <si>
    <t>25/6/2014</t>
  </si>
  <si>
    <t>26/6/2014</t>
  </si>
  <si>
    <t>27/6/2014</t>
  </si>
  <si>
    <t>28/6/2014</t>
  </si>
  <si>
    <t>29/6/2014</t>
  </si>
  <si>
    <t>30/6/2014</t>
  </si>
  <si>
    <t>13/7/2014</t>
  </si>
  <si>
    <t>14/7/2014</t>
  </si>
  <si>
    <t>15/7/2014</t>
  </si>
  <si>
    <t>16/7/2014</t>
  </si>
  <si>
    <t>17/7/2014</t>
  </si>
  <si>
    <t>18/7/2014</t>
  </si>
  <si>
    <t>19/7/2014</t>
  </si>
  <si>
    <t>20/7/2014</t>
  </si>
  <si>
    <t>21/7/2014</t>
  </si>
  <si>
    <t>22/7/2014</t>
  </si>
  <si>
    <t>23/7/2014</t>
  </si>
  <si>
    <t>24/7/2014</t>
  </si>
  <si>
    <t>25/7/2014</t>
  </si>
  <si>
    <t>26/7/2014</t>
  </si>
  <si>
    <t>27/7/2014</t>
  </si>
  <si>
    <t>28/7/2014</t>
  </si>
  <si>
    <t>29/7/2014</t>
  </si>
  <si>
    <t>30/7/2014</t>
  </si>
  <si>
    <t>31/7/2014</t>
  </si>
  <si>
    <t>13/8/2014</t>
  </si>
  <si>
    <t>14/8/2014</t>
  </si>
  <si>
    <t>15/8/2014</t>
  </si>
  <si>
    <t>16/8/2014</t>
  </si>
  <si>
    <t>17/8/2014</t>
  </si>
  <si>
    <t>18/8/2014</t>
  </si>
  <si>
    <t>19/8/2014</t>
  </si>
  <si>
    <t>20/8/2014</t>
  </si>
  <si>
    <t>21/8/2014</t>
  </si>
  <si>
    <t>22/8/2014</t>
  </si>
  <si>
    <t>23/8/2014</t>
  </si>
  <si>
    <t>24/8/2014</t>
  </si>
  <si>
    <t>25/8/2014</t>
  </si>
  <si>
    <t>26/8/2014</t>
  </si>
  <si>
    <t>27/8/2014</t>
  </si>
  <si>
    <t>28/8/2014</t>
  </si>
  <si>
    <t>29/8/2014</t>
  </si>
  <si>
    <t>30/8/2014</t>
  </si>
  <si>
    <t>31/8/2014</t>
  </si>
  <si>
    <t>13/9/2014</t>
  </si>
  <si>
    <t>14/9/2014</t>
  </si>
  <si>
    <t>15/9/2014</t>
  </si>
  <si>
    <t>16/9/2014</t>
  </si>
  <si>
    <t>17/9/2014</t>
  </si>
  <si>
    <t>18/9/2014</t>
  </si>
  <si>
    <t>19/9/2014</t>
  </si>
  <si>
    <t>20/9/2014</t>
  </si>
  <si>
    <t>21/9/2014</t>
  </si>
  <si>
    <t>22/9/2014</t>
  </si>
  <si>
    <t>23/9/2014</t>
  </si>
  <si>
    <t>24/9/2014</t>
  </si>
  <si>
    <t>25/9/2014</t>
  </si>
  <si>
    <t>26/9/2014</t>
  </si>
  <si>
    <t>27/9/2014</t>
  </si>
  <si>
    <t>28/9/2014</t>
  </si>
  <si>
    <t>29/9/2014</t>
  </si>
  <si>
    <t>30/9/2014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</si>
  <si>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</si>
  <si>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</si>
  <si>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</si>
  <si>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</si>
  <si>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</si>
  <si>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</si>
  <si>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</si>
  <si>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</si>
  <si>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</si>
  <si>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</si>
  <si>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</si>
  <si>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</si>
  <si>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</si>
  <si>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</si>
  <si>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</si>
  <si>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</si>
  <si>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</si>
  <si>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</si>
  <si>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</si>
  <si>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</si>
  <si>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</si>
  <si>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</si>
  <si>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</si>
  <si>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</si>
  <si>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</si>
  <si>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</si>
  <si>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</si>
  <si>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</si>
  <si>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</si>
  <si>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</si>
  <si>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</si>
  <si>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</si>
  <si>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</si>
  <si>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</si>
  <si>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</si>
  <si>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</si>
  <si>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</si>
  <si>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</si>
  <si>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</si>
  <si>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</si>
  <si>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</si>
  <si>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</si>
  <si>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</si>
  <si>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</si>
  <si>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</si>
  <si>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</si>
  <si>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</si>
  <si>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</si>
  <si>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</si>
  <si>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</si>
  <si>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</si>
  <si>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</si>
  <si>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</si>
  <si>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</si>
  <si>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</si>
  <si>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</si>
  <si>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13/1/2015</t>
  </si>
  <si>
    <t>14/1/2015</t>
  </si>
  <si>
    <t>15/1/2015</t>
  </si>
  <si>
    <t>16/1/2015</t>
  </si>
  <si>
    <t>17/1/2015</t>
  </si>
  <si>
    <t>18/1/2015</t>
  </si>
  <si>
    <t>19/1/2015</t>
  </si>
  <si>
    <t>20/1/2015</t>
  </si>
  <si>
    <t>21/1/2015</t>
  </si>
  <si>
    <t>22/1/2015</t>
  </si>
  <si>
    <t>23/1/2015</t>
  </si>
  <si>
    <t>24/1/2015</t>
  </si>
  <si>
    <t>25/1/2015</t>
  </si>
  <si>
    <t>26/1/2015</t>
  </si>
  <si>
    <t>27/1/2015</t>
  </si>
  <si>
    <t>28/1/2015</t>
  </si>
  <si>
    <t>29/1/2015</t>
  </si>
  <si>
    <t>30/1/2015</t>
  </si>
  <si>
    <t>31/1/2015</t>
  </si>
  <si>
    <t>13/2/2015</t>
  </si>
  <si>
    <t>14/2/2015</t>
  </si>
  <si>
    <t>15/2/2015</t>
  </si>
  <si>
    <t>16/2/2015</t>
  </si>
  <si>
    <t>17/2/2015</t>
  </si>
  <si>
    <t>18/2/2015</t>
  </si>
  <si>
    <t>19/2/2015</t>
  </si>
  <si>
    <t>20/2/2015</t>
  </si>
  <si>
    <t>21/2/2015</t>
  </si>
  <si>
    <t>22/2/2015</t>
  </si>
  <si>
    <t>23/2/2015</t>
  </si>
  <si>
    <t>24/2/2015</t>
  </si>
  <si>
    <t>25/2/2015</t>
  </si>
  <si>
    <t>26/2/2015</t>
  </si>
  <si>
    <t>27/2/2015</t>
  </si>
  <si>
    <t>28/2/2015</t>
  </si>
  <si>
    <t>13/3/2015</t>
  </si>
  <si>
    <t>14/3/2015</t>
  </si>
  <si>
    <t>15/3/2015</t>
  </si>
  <si>
    <t>16/3/2015</t>
  </si>
  <si>
    <t>17/3/2015</t>
  </si>
  <si>
    <t>18/3/2015</t>
  </si>
  <si>
    <t>19/3/2015</t>
  </si>
  <si>
    <t>20/3/2015</t>
  </si>
  <si>
    <t>21/3/2015</t>
  </si>
  <si>
    <t>22/3/2015</t>
  </si>
  <si>
    <t>23/3/2015</t>
  </si>
  <si>
    <t>24/3/2015</t>
  </si>
  <si>
    <t>25/3/2015</t>
  </si>
  <si>
    <t>26/3/2015</t>
  </si>
  <si>
    <t>27/3/2015</t>
  </si>
  <si>
    <t>28/3/2015</t>
  </si>
  <si>
    <t>29/3/2015</t>
  </si>
  <si>
    <t>30/3/2015</t>
  </si>
  <si>
    <t>31/3/2015</t>
  </si>
  <si>
    <t>13/4/2015</t>
  </si>
  <si>
    <t>14/4/2015</t>
  </si>
  <si>
    <t>15/4/2015</t>
  </si>
  <si>
    <t>16/4/2015</t>
  </si>
  <si>
    <t>17/4/2015</t>
  </si>
  <si>
    <t>18/4/2015</t>
  </si>
  <si>
    <t>19/4/2015</t>
  </si>
  <si>
    <t>20/4/2015</t>
  </si>
  <si>
    <t>21/4/2015</t>
  </si>
  <si>
    <t>22/4/2015</t>
  </si>
  <si>
    <t>23/4/2015</t>
  </si>
  <si>
    <t>24/4/2015</t>
  </si>
  <si>
    <t>25/4/2015</t>
  </si>
  <si>
    <t>26/4/2015</t>
  </si>
  <si>
    <t>27/4/2015</t>
  </si>
  <si>
    <t>28/4/2015</t>
  </si>
  <si>
    <t>29/4/2015</t>
  </si>
  <si>
    <t>30/4/2015</t>
  </si>
  <si>
    <t>13/5/2015</t>
  </si>
  <si>
    <t>14/5/2015</t>
  </si>
  <si>
    <t>15/5/2015</t>
  </si>
  <si>
    <t>16/5/2015</t>
  </si>
  <si>
    <t>17/5/2015</t>
  </si>
  <si>
    <t>18/5/2015</t>
  </si>
  <si>
    <t>19/5/2015</t>
  </si>
  <si>
    <t>20/5/2015</t>
  </si>
  <si>
    <t>21/5/2015</t>
  </si>
  <si>
    <t>22/5/2015</t>
  </si>
  <si>
    <t>23/5/2015</t>
  </si>
  <si>
    <t>24/5/2015</t>
  </si>
  <si>
    <t>25/5/2015</t>
  </si>
  <si>
    <t>26/5/2015</t>
  </si>
  <si>
    <t>27/5/2015</t>
  </si>
  <si>
    <t>28/5/2015</t>
  </si>
  <si>
    <t>29/5/2015</t>
  </si>
  <si>
    <t>30/5/2015</t>
  </si>
  <si>
    <t>31/5/2015</t>
  </si>
  <si>
    <t>13/6/2015</t>
  </si>
  <si>
    <t>14/6/2015</t>
  </si>
  <si>
    <t>15/6/2015</t>
  </si>
  <si>
    <t>16/6/2015</t>
  </si>
  <si>
    <t>17/6/2015</t>
  </si>
  <si>
    <t>18/6/2015</t>
  </si>
  <si>
    <t>19/6/2015</t>
  </si>
  <si>
    <t>20/6/2015</t>
  </si>
  <si>
    <t>21/6/2015</t>
  </si>
  <si>
    <t>22/6/2015</t>
  </si>
  <si>
    <t>23/6/2015</t>
  </si>
  <si>
    <t>24/6/2015</t>
  </si>
  <si>
    <t>25/6/2015</t>
  </si>
  <si>
    <t>26/6/2015</t>
  </si>
  <si>
    <t>27/6/2015</t>
  </si>
  <si>
    <t>28/6/2015</t>
  </si>
  <si>
    <t>29/6/2015</t>
  </si>
  <si>
    <t>30/6/2015</t>
  </si>
  <si>
    <t>13/7/2015</t>
  </si>
  <si>
    <t>14/7/2015</t>
  </si>
  <si>
    <t>15/7/2015</t>
  </si>
  <si>
    <t>16/7/2015</t>
  </si>
  <si>
    <t>17/7/2015</t>
  </si>
  <si>
    <t>18/7/2015</t>
  </si>
  <si>
    <t>19/7/2015</t>
  </si>
  <si>
    <t>20/7/2015</t>
  </si>
  <si>
    <t>21/7/2015</t>
  </si>
  <si>
    <t>22/7/2015</t>
  </si>
  <si>
    <t>23/7/2015</t>
  </si>
  <si>
    <t>24/7/2015</t>
  </si>
  <si>
    <t>25/7/2015</t>
  </si>
  <si>
    <t>26/7/2015</t>
  </si>
  <si>
    <t>27/7/2015</t>
  </si>
  <si>
    <t>28/7/2015</t>
  </si>
  <si>
    <t>29/7/2015</t>
  </si>
  <si>
    <t>30/7/2015</t>
  </si>
  <si>
    <t>31/7/2015</t>
  </si>
  <si>
    <t>13/8/2015</t>
  </si>
  <si>
    <t>14/8/2015</t>
  </si>
  <si>
    <t>15/8/2015</t>
  </si>
  <si>
    <t>16/8/2015</t>
  </si>
  <si>
    <t>17/8/2015</t>
  </si>
  <si>
    <t>18/8/2015</t>
  </si>
  <si>
    <t>19/8/2015</t>
  </si>
  <si>
    <t>20/8/2015</t>
  </si>
  <si>
    <t>21/8/2015</t>
  </si>
  <si>
    <t>22/8/2015</t>
  </si>
  <si>
    <t>23/8/2015</t>
  </si>
  <si>
    <t>24/8/2015</t>
  </si>
  <si>
    <t>25/8/2015</t>
  </si>
  <si>
    <t>26/8/2015</t>
  </si>
  <si>
    <t>27/8/2015</t>
  </si>
  <si>
    <t>28/8/2015</t>
  </si>
  <si>
    <t>29/8/2015</t>
  </si>
  <si>
    <t>30/8/2015</t>
  </si>
  <si>
    <t>31/8/2015</t>
  </si>
  <si>
    <t>13/9/2015</t>
  </si>
  <si>
    <t>14/9/2015</t>
  </si>
  <si>
    <t>15/9/2015</t>
  </si>
  <si>
    <t>16/9/2015</t>
  </si>
  <si>
    <t>17/9/2015</t>
  </si>
  <si>
    <t>18/9/2015</t>
  </si>
  <si>
    <t>19/9/2015</t>
  </si>
  <si>
    <t>20/9/2015</t>
  </si>
  <si>
    <t>21/9/2015</t>
  </si>
  <si>
    <t>22/9/2015</t>
  </si>
  <si>
    <t>23/9/2015</t>
  </si>
  <si>
    <t>24/9/2015</t>
  </si>
  <si>
    <t>25/9/2015</t>
  </si>
  <si>
    <t>26/9/2015</t>
  </si>
  <si>
    <t>27/9/2015</t>
  </si>
  <si>
    <t>28/9/2015</t>
  </si>
  <si>
    <t>29/9/2015</t>
  </si>
  <si>
    <t>30/9/2015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</si>
  <si>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</si>
  <si>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</si>
  <si>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</si>
  <si>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</si>
  <si>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</si>
  <si>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</si>
  <si>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</si>
  <si>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</si>
  <si>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</si>
  <si>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</si>
  <si>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</si>
  <si>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</si>
  <si>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</si>
  <si>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</si>
  <si>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</si>
  <si>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</si>
  <si>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</si>
  <si>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</si>
  <si>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</si>
  <si>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</si>
  <si>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</si>
  <si>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</si>
  <si>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</si>
  <si>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</si>
  <si>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</si>
  <si>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</si>
  <si>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</si>
  <si>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</si>
  <si>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</si>
  <si>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</si>
  <si>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</si>
  <si>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</si>
  <si>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</si>
  <si>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</si>
  <si>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</si>
  <si>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</si>
  <si>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</si>
  <si>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</si>
  <si>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</si>
  <si>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</si>
  <si>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</si>
  <si>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</si>
  <si>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</si>
  <si>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</si>
  <si>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</si>
  <si>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</si>
  <si>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</si>
  <si>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</si>
  <si>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</si>
  <si>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</si>
  <si>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</si>
  <si>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</si>
  <si>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</si>
  <si>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</si>
  <si>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</si>
  <si>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</si>
  <si>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13/1/2016</t>
  </si>
  <si>
    <t>14/1/2016</t>
  </si>
  <si>
    <t>15/1/2016</t>
  </si>
  <si>
    <t>16/1/2016</t>
  </si>
  <si>
    <t>17/1/2016</t>
  </si>
  <si>
    <t>18/1/2016</t>
  </si>
  <si>
    <t>19/1/2016</t>
  </si>
  <si>
    <t>20/1/2016</t>
  </si>
  <si>
    <t>21/1/2016</t>
  </si>
  <si>
    <t>22/1/2016</t>
  </si>
  <si>
    <t>23/1/2016</t>
  </si>
  <si>
    <t>24/1/2016</t>
  </si>
  <si>
    <t>25/1/2016</t>
  </si>
  <si>
    <t>26/1/2016</t>
  </si>
  <si>
    <t>27/1/2016</t>
  </si>
  <si>
    <t>28/1/2016</t>
  </si>
  <si>
    <t>29/1/2016</t>
  </si>
  <si>
    <t>30/1/2016</t>
  </si>
  <si>
    <t>31/1/2016</t>
  </si>
  <si>
    <t>13/2/2016</t>
  </si>
  <si>
    <t>14/2/2016</t>
  </si>
  <si>
    <t>15/2/2016</t>
  </si>
  <si>
    <t>16/2/2016</t>
  </si>
  <si>
    <t>17/2/2016</t>
  </si>
  <si>
    <t>18/2/2016</t>
  </si>
  <si>
    <t>19/2/2016</t>
  </si>
  <si>
    <t>20/2/2016</t>
  </si>
  <si>
    <t>21/2/2016</t>
  </si>
  <si>
    <t>22/2/2016</t>
  </si>
  <si>
    <t>23/2/2016</t>
  </si>
  <si>
    <t>24/2/2016</t>
  </si>
  <si>
    <t>25/2/2016</t>
  </si>
  <si>
    <t>26/2/2016</t>
  </si>
  <si>
    <t>27/2/2016</t>
  </si>
  <si>
    <t>28/2/2016</t>
  </si>
  <si>
    <t>29/2/2016</t>
  </si>
  <si>
    <t>13/3/2016</t>
  </si>
  <si>
    <t>14/3/2016</t>
  </si>
  <si>
    <t>15/3/2016</t>
  </si>
  <si>
    <t>16/3/2016</t>
  </si>
  <si>
    <t>17/3/2016</t>
  </si>
  <si>
    <t>18/3/2016</t>
  </si>
  <si>
    <t>19/3/2016</t>
  </si>
  <si>
    <t>20/3/2016</t>
  </si>
  <si>
    <t>21/3/2016</t>
  </si>
  <si>
    <t>22/3/2016</t>
  </si>
  <si>
    <t>23/3/2016</t>
  </si>
  <si>
    <t>24/3/2016</t>
  </si>
  <si>
    <t>25/3/2016</t>
  </si>
  <si>
    <t>26/3/2016</t>
  </si>
  <si>
    <t>27/3/2016</t>
  </si>
  <si>
    <t>28/3/2016</t>
  </si>
  <si>
    <t>29/3/2016</t>
  </si>
  <si>
    <t>30/3/2016</t>
  </si>
  <si>
    <t>31/3/2016</t>
  </si>
  <si>
    <t>13/4/2016</t>
  </si>
  <si>
    <t>14/4/2016</t>
  </si>
  <si>
    <t>15/4/2016</t>
  </si>
  <si>
    <t>16/4/2016</t>
  </si>
  <si>
    <t>17/4/2016</t>
  </si>
  <si>
    <t>18/4/2016</t>
  </si>
  <si>
    <t>19/4/2016</t>
  </si>
  <si>
    <t>20/4/2016</t>
  </si>
  <si>
    <t>21/4/2016</t>
  </si>
  <si>
    <t>22/4/2016</t>
  </si>
  <si>
    <t>23/4/2016</t>
  </si>
  <si>
    <t>24/4/2016</t>
  </si>
  <si>
    <t>25/4/2016</t>
  </si>
  <si>
    <t>26/4/2016</t>
  </si>
  <si>
    <t>27/4/2016</t>
  </si>
  <si>
    <t>28/4/2016</t>
  </si>
  <si>
    <t>29/4/2016</t>
  </si>
  <si>
    <t>30/4/2016</t>
  </si>
  <si>
    <t>13/5/2016</t>
  </si>
  <si>
    <t>14/5/2016</t>
  </si>
  <si>
    <t>15/5/2016</t>
  </si>
  <si>
    <t>16/5/2016</t>
  </si>
  <si>
    <t>17/5/2016</t>
  </si>
  <si>
    <t>18/5/2016</t>
  </si>
  <si>
    <t>19/5/2016</t>
  </si>
  <si>
    <t>20/5/2016</t>
  </si>
  <si>
    <t>21/5/2016</t>
  </si>
  <si>
    <t>22/5/2016</t>
  </si>
  <si>
    <t>23/5/2016</t>
  </si>
  <si>
    <t>24/5/2016</t>
  </si>
  <si>
    <t>25/5/2016</t>
  </si>
  <si>
    <t>26/5/2016</t>
  </si>
  <si>
    <t>27/5/2016</t>
  </si>
  <si>
    <t>28/5/2016</t>
  </si>
  <si>
    <t>29/5/2016</t>
  </si>
  <si>
    <t>30/5/2016</t>
  </si>
  <si>
    <t>31/5/2016</t>
  </si>
  <si>
    <t>13/6/2016</t>
  </si>
  <si>
    <t>14/6/2016</t>
  </si>
  <si>
    <t>15/6/2016</t>
  </si>
  <si>
    <t>16/6/2016</t>
  </si>
  <si>
    <t>17/6/2016</t>
  </si>
  <si>
    <t>18/6/2016</t>
  </si>
  <si>
    <t>19/6/2016</t>
  </si>
  <si>
    <t>20/6/2016</t>
  </si>
  <si>
    <t>21/6/2016</t>
  </si>
  <si>
    <t>22/6/2016</t>
  </si>
  <si>
    <t>23/6/2016</t>
  </si>
  <si>
    <t>24/6/2016</t>
  </si>
  <si>
    <t>25/6/2016</t>
  </si>
  <si>
    <t>26/6/2016</t>
  </si>
  <si>
    <t>27/6/2016</t>
  </si>
  <si>
    <t>28/6/2016</t>
  </si>
  <si>
    <t>29/6/2016</t>
  </si>
  <si>
    <t>30/6/2016</t>
  </si>
  <si>
    <t>13/7/2016</t>
  </si>
  <si>
    <t>14/7/2016</t>
  </si>
  <si>
    <t>15/7/2016</t>
  </si>
  <si>
    <t>16/7/2016</t>
  </si>
  <si>
    <t>17/7/2016</t>
  </si>
  <si>
    <t>18/7/2016</t>
  </si>
  <si>
    <t>19/7/2016</t>
  </si>
  <si>
    <t>20/7/2016</t>
  </si>
  <si>
    <t>21/7/2016</t>
  </si>
  <si>
    <t>22/7/2016</t>
  </si>
  <si>
    <t>23/7/2016</t>
  </si>
  <si>
    <t>24/7/2016</t>
  </si>
  <si>
    <t>25/7/2016</t>
  </si>
  <si>
    <t>26/7/2016</t>
  </si>
  <si>
    <t>27/7/2016</t>
  </si>
  <si>
    <t>28/7/2016</t>
  </si>
  <si>
    <t>29/7/2016</t>
  </si>
  <si>
    <t>30/7/2016</t>
  </si>
  <si>
    <t>31/7/2016</t>
  </si>
  <si>
    <t>13/8/2016</t>
  </si>
  <si>
    <t>14/8/2016</t>
  </si>
  <si>
    <t>15/8/2016</t>
  </si>
  <si>
    <t>16/8/2016</t>
  </si>
  <si>
    <t>17/8/2016</t>
  </si>
  <si>
    <t>18/8/2016</t>
  </si>
  <si>
    <t>19/8/2016</t>
  </si>
  <si>
    <t>20/8/2016</t>
  </si>
  <si>
    <t>21/8/2016</t>
  </si>
  <si>
    <t>22/8/2016</t>
  </si>
  <si>
    <t>23/8/2016</t>
  </si>
  <si>
    <t>24/8/2016</t>
  </si>
  <si>
    <t>25/8/2016</t>
  </si>
  <si>
    <t>26/8/2016</t>
  </si>
  <si>
    <t>27/8/2016</t>
  </si>
  <si>
    <t>28/8/2016</t>
  </si>
  <si>
    <t>29/8/2016</t>
  </si>
  <si>
    <t>30/8/2016</t>
  </si>
  <si>
    <t>31/8/2016</t>
  </si>
  <si>
    <t>13/9/2016</t>
  </si>
  <si>
    <t>14/9/2016</t>
  </si>
  <si>
    <t>15/9/2016</t>
  </si>
  <si>
    <t>16/9/2016</t>
  </si>
  <si>
    <t>17/9/2016</t>
  </si>
  <si>
    <t>18/9/2016</t>
  </si>
  <si>
    <t>19/9/2016</t>
  </si>
  <si>
    <t>20/9/2016</t>
  </si>
  <si>
    <t>21/9/2016</t>
  </si>
  <si>
    <t>22/9/2016</t>
  </si>
  <si>
    <t>23/9/2016</t>
  </si>
  <si>
    <t>24/9/2016</t>
  </si>
  <si>
    <t>25/9/2016</t>
  </si>
  <si>
    <t>26/9/2016</t>
  </si>
  <si>
    <t>27/9/2016</t>
  </si>
  <si>
    <t>28/9/2016</t>
  </si>
  <si>
    <t>29/9/2016</t>
  </si>
  <si>
    <t>30/9/2016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</si>
  <si>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</si>
  <si>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</si>
  <si>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</si>
  <si>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</si>
  <si>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</si>
  <si>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</si>
  <si>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</si>
  <si>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</si>
  <si>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</si>
  <si>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</si>
  <si>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</si>
  <si>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</si>
  <si>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</si>
  <si>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</si>
  <si>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</si>
  <si>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</si>
  <si>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</si>
  <si>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</si>
  <si>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</si>
  <si>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13/11/2016</t>
  </si>
  <si>
    <t>14/11/2016</t>
  </si>
  <si>
    <t>15/11/2016</t>
  </si>
  <si>
    <t>16/11/2016</t>
  </si>
  <si>
    <t>Unit Price</t>
  </si>
  <si>
    <t>Gross Profit</t>
  </si>
  <si>
    <t>Gross Profit Percent</t>
  </si>
  <si>
    <t>On Promotion</t>
  </si>
  <si>
    <t>QTY SOLD</t>
  </si>
  <si>
    <t>Unit Cost</t>
  </si>
  <si>
    <t>Gross Profit on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</si>
</sst>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 vs Normal Quantity</a:t>
            </a:r>
          </a:p>
        </c:rich>
      </c:tx>
      <c:layout>
        <c:manualLayout>
          <c:xMode val="edge"/>
          <c:yMode val="edge"/>
          <c:x val="0.29563888888888895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5929203539823"/>
          <c:y val="0.18967592592592591"/>
          <c:w val="0.34351032448377583"/>
          <c:h val="0.75476851851851856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607</c:v>
              </c:pt>
              <c:pt idx="1">
                <c:v>FALSE</c:v>
              </c:pt>
              <c:pt idx="2">
                <c:v>TRUE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154146097.12827983</c:v>
              </c:pt>
              <c:pt idx="2">
                <c:v>39880012.318000019</c:v>
              </c:pt>
            </c:numLit>
          </c:val>
          <c:extLst>
            <c:ext xmlns:c16="http://schemas.microsoft.com/office/drawing/2014/chart" uri="{C3380CC4-5D6E-409C-BE32-E72D297353CC}">
              <c16:uniqueId val="{00000000-9C2F-4EDA-801D-C97CC5CC68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Promo</a:t>
            </a:r>
            <a:r>
              <a:rPr lang="en-US" b="1" i="1" baseline="0"/>
              <a:t> vs Quantity</a:t>
            </a:r>
            <a:endParaRPr lang="en-US" b="1" i="1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607</c:v>
              </c:pt>
              <c:pt idx="1">
                <c:v>FALSE</c:v>
              </c:pt>
              <c:pt idx="2">
                <c:v>TRUE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154146097.12827983</c:v>
              </c:pt>
              <c:pt idx="2">
                <c:v>39880012.318000019</c:v>
              </c:pt>
            </c:numLit>
          </c:val>
          <c:extLst>
            <c:ext xmlns:c16="http://schemas.microsoft.com/office/drawing/2014/chart" uri="{C3380CC4-5D6E-409C-BE32-E72D297353CC}">
              <c16:uniqueId val="{00000000-C3F8-4CF7-B1B2-86F9E5C0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9042111"/>
        <c:axId val="1246443599"/>
      </c:barChart>
      <c:catAx>
        <c:axId val="16090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43599"/>
        <c:crosses val="autoZero"/>
        <c:auto val="1"/>
        <c:lblAlgn val="ctr"/>
        <c:lblOffset val="100"/>
        <c:noMultiLvlLbl val="0"/>
      </c:catAx>
      <c:valAx>
        <c:axId val="124644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 VS Normal Quantity per Profit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8736285013553637E-2"/>
          <c:y val="0.15782407407407409"/>
          <c:w val="0.55165397358117119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Unit Price</c:v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3"/>
              <c:pt idx="0">
                <c:v>607</c:v>
              </c:pt>
              <c:pt idx="1">
                <c:v>FALSE</c:v>
              </c:pt>
              <c:pt idx="2">
                <c:v>TRUE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21568.34528828528</c:v>
              </c:pt>
              <c:pt idx="2">
                <c:v>17469.367427125402</c:v>
              </c:pt>
            </c:numLit>
          </c:val>
          <c:extLst>
            <c:ext xmlns:c16="http://schemas.microsoft.com/office/drawing/2014/chart" uri="{C3380CC4-5D6E-409C-BE32-E72D297353CC}">
              <c16:uniqueId val="{00000002-3A68-44B7-8D9D-7B4CEF468CF3}"/>
            </c:ext>
          </c:extLst>
        </c:ser>
        <c:ser>
          <c:idx val="1"/>
          <c:order val="1"/>
          <c:tx>
            <c:v>Sum of Gross Profit Percent</c:v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3"/>
              <c:pt idx="0">
                <c:v>607</c:v>
              </c:pt>
              <c:pt idx="1">
                <c:v>FALSE</c:v>
              </c:pt>
              <c:pt idx="2">
                <c:v>TRUE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-35.197812292701535</c:v>
              </c:pt>
              <c:pt idx="2">
                <c:v>25.98430813483051</c:v>
              </c:pt>
            </c:numLit>
          </c:val>
          <c:extLst>
            <c:ext xmlns:c16="http://schemas.microsoft.com/office/drawing/2014/chart" uri="{C3380CC4-5D6E-409C-BE32-E72D297353CC}">
              <c16:uniqueId val="{00000003-3A68-44B7-8D9D-7B4CEF468C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289524735"/>
        <c:axId val="1289515135"/>
      </c:barChart>
      <c:catAx>
        <c:axId val="128952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15135"/>
        <c:crosses val="autoZero"/>
        <c:auto val="1"/>
        <c:lblAlgn val="ctr"/>
        <c:lblOffset val="100"/>
        <c:noMultiLvlLbl val="0"/>
      </c:catAx>
      <c:valAx>
        <c:axId val="12895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723419</xdr:colOff>
      <xdr:row>1</xdr:row>
      <xdr:rowOff>115745</xdr:rowOff>
    </xdr:from>
    <xdr:to>
      <xdr:col>19</xdr:col>
      <xdr:colOff>52474</xdr:colOff>
      <xdr:row>27</xdr:row>
      <xdr:rowOff>135037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B256E-ACEE-947F-B274-982E2CAA4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245286</xdr:colOff>
      <xdr:row>18</xdr:row>
      <xdr:rowOff>105618</xdr:rowOff>
    </xdr:from>
    <xdr:to>
      <xdr:col>7</xdr:col>
      <xdr:colOff>646253</xdr:colOff>
      <xdr:row>32</xdr:row>
      <xdr:rowOff>125393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EF016C-FEB7-FEC4-8B97-7AD478A02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131564</xdr:colOff>
      <xdr:row>2</xdr:row>
      <xdr:rowOff>67519</xdr:rowOff>
    </xdr:from>
    <xdr:to>
      <xdr:col>7</xdr:col>
      <xdr:colOff>694480</xdr:colOff>
      <xdr:row>15</xdr:row>
      <xdr:rowOff>48324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C9A53D-D05E-7CE2-F2A9-A83B360A6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de retailstar" refreshedDate="45977.832676851853" createdVersion="8" refreshedVersion="8" minRefreshableVersion="3" recordCount="1061" xr:uid="{57587CAA-1A71-4EE7-9B20-DCD2E3A818E2}">
  <cacheSource type="worksheet">
    <worksheetSource ref="A1:K1048576" sheet="Sales Case Study (2)"/>
  </cacheSource>
  <cacheFields count="11">
    <cacheField name="Date" numFmtId="0">
      <sharedItems containsDate="1" containsBlank="1" containsMixedTypes="1" minDate="2014-01-01T00:00:00" maxDate="2016-12-12T00:00:00" count="1054">
        <s v="30/12/2013"/>
        <s v="31/12/2013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s v="13/1/2014"/>
        <s v="14/1/2014"/>
        <s v="15/1/2014"/>
        <s v="16/1/2014"/>
        <s v="17/1/2014"/>
        <s v="18/1/2014"/>
        <s v="19/1/2014"/>
        <s v="20/1/2014"/>
        <s v="21/1/2014"/>
        <s v="22/1/2014"/>
        <s v="23/1/2014"/>
        <s v="24/1/2014"/>
        <s v="25/1/2014"/>
        <s v="26/1/2014"/>
        <s v="27/1/2014"/>
        <s v="28/1/2014"/>
        <s v="29/1/2014"/>
        <s v="30/1/2014"/>
        <s v="31/1/2014"/>
        <d v="2014-01-02T00:00:00"/>
        <d v="2014-02-02T00:00:00"/>
        <d v="2014-03-02T00:00:00"/>
        <d v="2014-04-02T00:00:00"/>
        <d v="2014-05-02T00:00:00"/>
        <d v="2014-06-02T00:00:00"/>
        <d v="2014-07-02T00:00:00"/>
        <d v="2014-08-02T00:00:00"/>
        <d v="2014-09-02T00:00:00"/>
        <d v="2014-10-02T00:00:00"/>
        <d v="2014-11-02T00:00:00"/>
        <d v="2014-12-02T00:00:00"/>
        <s v="13/2/2014"/>
        <s v="14/2/2014"/>
        <s v="15/2/2014"/>
        <s v="16/2/2014"/>
        <s v="17/2/2014"/>
        <s v="18/2/2014"/>
        <s v="19/2/2014"/>
        <s v="20/2/2014"/>
        <s v="21/2/2014"/>
        <s v="22/2/2014"/>
        <s v="23/2/2014"/>
        <s v="24/2/2014"/>
        <s v="25/2/2014"/>
        <s v="26/2/2014"/>
        <s v="27/2/2014"/>
        <s v="28/2/2014"/>
        <d v="2014-01-03T00:00:00"/>
        <d v="2014-02-03T00:00:00"/>
        <d v="2014-03-03T00:00:00"/>
        <d v="2014-04-03T00:00:00"/>
        <d v="2014-05-03T00:00:00"/>
        <d v="2014-06-03T00:00:00"/>
        <d v="2014-07-03T00:00:00"/>
        <d v="2014-08-03T00:00:00"/>
        <d v="2014-09-03T00:00:00"/>
        <d v="2014-10-03T00:00:00"/>
        <d v="2014-11-03T00:00:00"/>
        <d v="2014-12-03T00:00:00"/>
        <s v="13/3/2014"/>
        <s v="14/3/2014"/>
        <s v="15/3/2014"/>
        <s v="16/3/2014"/>
        <s v="17/3/2014"/>
        <s v="18/3/2014"/>
        <s v="19/3/2014"/>
        <s v="20/3/2014"/>
        <s v="21/3/2014"/>
        <s v="22/3/2014"/>
        <s v="23/3/2014"/>
        <s v="24/3/2014"/>
        <s v="25/3/2014"/>
        <s v="26/3/2014"/>
        <s v="27/3/2014"/>
        <s v="28/3/2014"/>
        <s v="29/3/2014"/>
        <s v="30/3/2014"/>
        <s v="31/3/2014"/>
        <d v="2014-01-04T00:00:00"/>
        <d v="2014-02-04T00:00:00"/>
        <d v="2014-03-04T00:00:00"/>
        <d v="2014-04-04T00:00:00"/>
        <d v="2014-05-04T00:00:00"/>
        <d v="2014-06-04T00:00:00"/>
        <d v="2014-07-04T00:00:00"/>
        <d v="2014-08-04T00:00:00"/>
        <d v="2014-09-04T00:00:00"/>
        <d v="2014-10-04T00:00:00"/>
        <d v="2014-11-04T00:00:00"/>
        <d v="2014-12-04T00:00:00"/>
        <s v="13/4/2014"/>
        <s v="14/4/2014"/>
        <s v="15/4/2014"/>
        <s v="16/4/2014"/>
        <s v="17/4/2014"/>
        <s v="18/4/2014"/>
        <s v="19/4/2014"/>
        <s v="20/4/2014"/>
        <s v="21/4/2014"/>
        <s v="22/4/2014"/>
        <s v="23/4/2014"/>
        <s v="24/4/2014"/>
        <s v="25/4/2014"/>
        <s v="26/4/2014"/>
        <s v="27/4/2014"/>
        <s v="28/4/2014"/>
        <s v="29/4/2014"/>
        <s v="30/4/2014"/>
        <d v="2014-01-05T00:00:00"/>
        <d v="2014-02-05T00:00:00"/>
        <d v="2014-03-05T00:00:00"/>
        <d v="2014-04-05T00:00:00"/>
        <d v="2014-05-05T00:00:00"/>
        <d v="2014-06-05T00:00:00"/>
        <d v="2014-07-05T00:00:00"/>
        <d v="2014-08-05T00:00:00"/>
        <d v="2014-09-05T00:00:00"/>
        <d v="2014-10-05T00:00:00"/>
        <d v="2014-11-05T00:00:00"/>
        <d v="2014-12-05T00:00:00"/>
        <s v="13/5/2014"/>
        <s v="14/5/2014"/>
        <s v="15/5/2014"/>
        <s v="16/5/2014"/>
        <s v="17/5/2014"/>
        <s v="18/5/2014"/>
        <s v="19/5/2014"/>
        <s v="20/5/2014"/>
        <s v="21/5/2014"/>
        <s v="22/5/2014"/>
        <s v="23/5/2014"/>
        <s v="24/5/2014"/>
        <s v="25/5/2014"/>
        <s v="26/5/2014"/>
        <s v="27/5/2014"/>
        <s v="28/5/2014"/>
        <s v="29/5/2014"/>
        <s v="30/5/2014"/>
        <s v="31/5/2014"/>
        <d v="2014-01-06T00:00:00"/>
        <d v="2014-02-06T00:00:00"/>
        <d v="2014-03-06T00:00:00"/>
        <d v="2014-04-06T00:00:00"/>
        <d v="2014-05-06T00:00:00"/>
        <d v="2014-06-06T00:00:00"/>
        <d v="2014-07-06T00:00:00"/>
        <d v="2014-08-06T00:00:00"/>
        <d v="2014-09-06T00:00:00"/>
        <d v="2014-10-06T00:00:00"/>
        <d v="2014-11-06T00:00:00"/>
        <d v="2014-12-06T00:00:00"/>
        <s v="13/6/2014"/>
        <s v="14/6/2014"/>
        <s v="15/6/2014"/>
        <s v="16/6/2014"/>
        <s v="17/6/2014"/>
        <s v="18/6/2014"/>
        <s v="19/6/2014"/>
        <s v="20/6/2014"/>
        <s v="21/6/2014"/>
        <s v="22/6/2014"/>
        <s v="23/6/2014"/>
        <s v="24/6/2014"/>
        <s v="25/6/2014"/>
        <s v="26/6/2014"/>
        <s v="27/6/2014"/>
        <s v="28/6/2014"/>
        <s v="29/6/2014"/>
        <s v="30/6/2014"/>
        <d v="2014-01-07T00:00:00"/>
        <d v="2014-02-07T00:00:00"/>
        <d v="2014-03-07T00:00:00"/>
        <d v="2014-04-07T00:00:00"/>
        <d v="2014-05-07T00:00:00"/>
        <d v="2014-06-07T00:00:00"/>
        <d v="2014-07-07T00:00:00"/>
        <d v="2014-08-07T00:00:00"/>
        <d v="2014-09-07T00:00:00"/>
        <d v="2014-10-07T00:00:00"/>
        <d v="2014-11-07T00:00:00"/>
        <d v="2014-12-07T00:00:00"/>
        <s v="13/7/2014"/>
        <s v="14/7/2014"/>
        <s v="15/7/2014"/>
        <s v="16/7/2014"/>
        <s v="17/7/2014"/>
        <s v="18/7/2014"/>
        <s v="19/7/2014"/>
        <s v="20/7/2014"/>
        <s v="21/7/2014"/>
        <s v="22/7/2014"/>
        <s v="23/7/2014"/>
        <s v="24/7/2014"/>
        <s v="25/7/2014"/>
        <s v="26/7/2014"/>
        <s v="27/7/2014"/>
        <s v="28/7/2014"/>
        <s v="29/7/2014"/>
        <s v="30/7/2014"/>
        <s v="31/7/2014"/>
        <d v="2014-01-08T00:00:00"/>
        <d v="2014-02-08T00:00:00"/>
        <d v="2014-03-08T00:00:00"/>
        <d v="2014-04-08T00:00:00"/>
        <d v="2014-05-08T00:00:00"/>
        <d v="2014-06-08T00:00:00"/>
        <d v="2014-07-08T00:00:00"/>
        <d v="2014-08-08T00:00:00"/>
        <d v="2014-09-08T00:00:00"/>
        <d v="2014-10-08T00:00:00"/>
        <d v="2014-11-08T00:00:00"/>
        <d v="2014-12-08T00:00:00"/>
        <s v="13/8/2014"/>
        <s v="14/8/2014"/>
        <s v="15/8/2014"/>
        <s v="16/8/2014"/>
        <s v="17/8/2014"/>
        <s v="18/8/2014"/>
        <s v="19/8/2014"/>
        <s v="20/8/2014"/>
        <s v="21/8/2014"/>
        <s v="22/8/2014"/>
        <s v="23/8/2014"/>
        <s v="24/8/2014"/>
        <s v="25/8/2014"/>
        <s v="26/8/2014"/>
        <s v="27/8/2014"/>
        <s v="28/8/2014"/>
        <s v="29/8/2014"/>
        <s v="30/8/2014"/>
        <s v="31/8/2014"/>
        <d v="2014-01-09T00:00:00"/>
        <d v="2014-02-09T00:00:00"/>
        <d v="2014-03-09T00:00:00"/>
        <d v="2014-04-09T00:00:00"/>
        <d v="2014-05-09T00:00:00"/>
        <d v="2014-06-09T00:00:00"/>
        <d v="2014-07-09T00:00:00"/>
        <d v="2014-08-09T00:00:00"/>
        <d v="2014-09-09T00:00:00"/>
        <d v="2014-10-09T00:00:00"/>
        <d v="2014-11-09T00:00:00"/>
        <d v="2014-12-09T00:00:00"/>
        <s v="13/9/2014"/>
        <s v="14/9/2014"/>
        <s v="15/9/2014"/>
        <s v="16/9/2014"/>
        <s v="17/9/2014"/>
        <s v="18/9/2014"/>
        <s v="19/9/2014"/>
        <s v="20/9/2014"/>
        <s v="21/9/2014"/>
        <s v="22/9/2014"/>
        <s v="23/9/2014"/>
        <s v="24/9/2014"/>
        <s v="25/9/2014"/>
        <s v="26/9/2014"/>
        <s v="27/9/2014"/>
        <s v="28/9/2014"/>
        <s v="29/9/2014"/>
        <s v="30/9/2014"/>
        <d v="2014-01-10T00:00:00"/>
        <d v="2014-02-10T00:00:00"/>
        <d v="2014-03-10T00:00:00"/>
        <d v="2014-04-10T00:00:00"/>
        <d v="2014-05-10T00:00:00"/>
        <d v="2014-06-10T00:00:00"/>
        <d v="2014-07-10T00:00:00"/>
        <d v="2014-08-10T00:00:00"/>
        <d v="2014-09-10T00:00:00"/>
        <d v="2014-10-10T00:00:00"/>
        <d v="2014-11-10T00:00:00"/>
        <d v="2014-12-10T00:00:00"/>
        <s v="13/10/2014"/>
        <s v="14/10/2014"/>
        <s v="15/10/2014"/>
        <s v="16/10/2014"/>
        <s v="17/10/2014"/>
        <s v="18/10/2014"/>
        <s v="19/10/2014"/>
        <s v="20/10/2014"/>
        <s v="21/10/2014"/>
        <s v="22/10/2014"/>
        <s v="23/10/2014"/>
        <s v="24/10/2014"/>
        <s v="25/10/2014"/>
        <s v="26/10/2014"/>
        <s v="27/10/2014"/>
        <s v="28/10/2014"/>
        <s v="29/10/2014"/>
        <s v="30/10/2014"/>
        <s v="31/10/2014"/>
        <d v="2014-01-11T00:00:00"/>
        <d v="2014-02-11T00:00:00"/>
        <d v="2014-03-11T00:00:00"/>
        <d v="2014-04-11T00:00:00"/>
        <d v="2014-05-11T00:00:00"/>
        <d v="2014-06-11T00:00:00"/>
        <d v="2014-07-11T00:00:00"/>
        <d v="2014-08-11T00:00:00"/>
        <d v="2014-09-11T00:00:00"/>
        <d v="2014-10-11T00:00:00"/>
        <d v="2014-11-11T00:00:00"/>
        <d v="2014-12-11T00:00:00"/>
        <s v="13/11/2014"/>
        <s v="14/11/2014"/>
        <s v="15/11/2014"/>
        <s v="16/11/2014"/>
        <s v="17/11/2014"/>
        <s v="18/11/2014"/>
        <s v="19/11/2014"/>
        <s v="20/11/2014"/>
        <s v="21/11/2014"/>
        <s v="22/11/2014"/>
        <s v="23/11/2014"/>
        <s v="24/11/2014"/>
        <s v="25/11/2014"/>
        <s v="26/11/2014"/>
        <s v="27/11/2014"/>
        <s v="28/11/2014"/>
        <s v="29/11/2014"/>
        <s v="30/11/2014"/>
        <d v="2014-01-12T00:00:00"/>
        <d v="2014-02-12T00:00:00"/>
        <d v="2014-03-12T00:00:00"/>
        <d v="2014-04-12T00:00:00"/>
        <d v="2014-05-12T00:00:00"/>
        <d v="2014-06-12T00:00:00"/>
        <d v="2014-07-12T00:00:00"/>
        <d v="2014-08-12T00:00:00"/>
        <d v="2014-09-12T00:00:00"/>
        <d v="2014-10-12T00:00:00"/>
        <d v="2014-11-12T00:00:00"/>
        <d v="2014-12-12T00:00:00"/>
        <s v="13/12/2014"/>
        <s v="14/12/2014"/>
        <s v="15/12/2014"/>
        <s v="16/12/2014"/>
        <s v="17/12/2014"/>
        <s v="18/12/2014"/>
        <s v="19/12/2014"/>
        <s v="20/12/2014"/>
        <s v="21/12/2014"/>
        <s v="22/12/2014"/>
        <s v="23/12/2014"/>
        <s v="24/12/2014"/>
        <s v="25/12/2014"/>
        <s v="26/12/2014"/>
        <s v="27/12/2014"/>
        <s v="28/12/2014"/>
        <s v="29/12/2014"/>
        <s v="30/12/2014"/>
        <s v="31/12/2014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s v="13/1/2015"/>
        <s v="14/1/2015"/>
        <s v="15/1/2015"/>
        <s v="16/1/2015"/>
        <s v="17/1/2015"/>
        <s v="18/1/2015"/>
        <s v="19/1/2015"/>
        <s v="20/1/2015"/>
        <s v="21/1/2015"/>
        <s v="22/1/2015"/>
        <s v="23/1/2015"/>
        <s v="24/1/2015"/>
        <s v="25/1/2015"/>
        <s v="26/1/2015"/>
        <s v="27/1/2015"/>
        <s v="28/1/2015"/>
        <s v="29/1/2015"/>
        <s v="30/1/2015"/>
        <s v="31/1/2015"/>
        <d v="2015-01-02T00:00:00"/>
        <d v="2015-02-02T00:00:00"/>
        <d v="2015-03-02T00:00:00"/>
        <d v="2015-04-02T00:00:00"/>
        <d v="2015-05-02T00:00:00"/>
        <d v="2015-06-02T00:00:00"/>
        <d v="2015-07-02T00:00:00"/>
        <d v="2015-08-02T00:00:00"/>
        <d v="2015-09-02T00:00:00"/>
        <d v="2015-10-02T00:00:00"/>
        <d v="2015-11-02T00:00:00"/>
        <d v="2015-12-02T00:00:00"/>
        <s v="13/2/2015"/>
        <s v="14/2/2015"/>
        <s v="15/2/2015"/>
        <s v="16/2/2015"/>
        <s v="17/2/2015"/>
        <s v="18/2/2015"/>
        <s v="19/2/2015"/>
        <s v="20/2/2015"/>
        <s v="21/2/2015"/>
        <s v="22/2/2015"/>
        <s v="23/2/2015"/>
        <s v="24/2/2015"/>
        <s v="25/2/2015"/>
        <s v="26/2/2015"/>
        <s v="27/2/2015"/>
        <s v="28/2/2015"/>
        <d v="2015-01-03T00:00:00"/>
        <d v="2015-02-03T00:00:00"/>
        <d v="2015-03-03T00:00:00"/>
        <d v="2015-04-03T00:00:00"/>
        <d v="2015-05-03T00:00:00"/>
        <d v="2015-06-03T00:00:00"/>
        <d v="2015-07-03T00:00:00"/>
        <d v="2015-08-03T00:00:00"/>
        <d v="2015-09-03T00:00:00"/>
        <d v="2015-10-03T00:00:00"/>
        <d v="2015-11-03T00:00:00"/>
        <d v="2015-12-03T00:00:00"/>
        <s v="13/3/2015"/>
        <s v="14/3/2015"/>
        <s v="15/3/2015"/>
        <s v="16/3/2015"/>
        <s v="17/3/2015"/>
        <s v="18/3/2015"/>
        <s v="19/3/2015"/>
        <s v="20/3/2015"/>
        <s v="21/3/2015"/>
        <s v="22/3/2015"/>
        <s v="23/3/2015"/>
        <s v="24/3/2015"/>
        <s v="25/3/2015"/>
        <s v="26/3/2015"/>
        <s v="27/3/2015"/>
        <s v="28/3/2015"/>
        <s v="29/3/2015"/>
        <s v="30/3/2015"/>
        <s v="31/3/2015"/>
        <d v="2015-01-04T00:00:00"/>
        <d v="2015-02-04T00:00:00"/>
        <d v="2015-03-04T00:00:00"/>
        <d v="2015-04-04T00:00:00"/>
        <d v="2015-05-04T00:00:00"/>
        <d v="2015-06-04T00:00:00"/>
        <d v="2015-07-04T00:00:00"/>
        <d v="2015-08-04T00:00:00"/>
        <d v="2015-09-04T00:00:00"/>
        <d v="2015-10-04T00:00:00"/>
        <d v="2015-11-04T00:00:00"/>
        <d v="2015-12-04T00:00:00"/>
        <s v="13/4/2015"/>
        <s v="14/4/2015"/>
        <s v="15/4/2015"/>
        <s v="16/4/2015"/>
        <s v="17/4/2015"/>
        <s v="18/4/2015"/>
        <s v="19/4/2015"/>
        <s v="20/4/2015"/>
        <s v="21/4/2015"/>
        <s v="22/4/2015"/>
        <s v="23/4/2015"/>
        <s v="24/4/2015"/>
        <s v="25/4/2015"/>
        <s v="26/4/2015"/>
        <s v="27/4/2015"/>
        <s v="28/4/2015"/>
        <s v="29/4/2015"/>
        <s v="30/4/2015"/>
        <d v="2015-01-05T00:00:00"/>
        <d v="2015-02-05T00:00:00"/>
        <d v="2015-03-05T00:00:00"/>
        <d v="2015-04-05T00:00:00"/>
        <d v="2015-05-05T00:00:00"/>
        <d v="2015-06-05T00:00:00"/>
        <d v="2015-07-05T00:00:00"/>
        <d v="2015-08-05T00:00:00"/>
        <d v="2015-09-05T00:00:00"/>
        <d v="2015-10-05T00:00:00"/>
        <d v="2015-11-05T00:00:00"/>
        <d v="2015-12-05T00:00:00"/>
        <s v="13/5/2015"/>
        <s v="14/5/2015"/>
        <s v="15/5/2015"/>
        <s v="16/5/2015"/>
        <s v="17/5/2015"/>
        <s v="18/5/2015"/>
        <s v="19/5/2015"/>
        <s v="20/5/2015"/>
        <s v="21/5/2015"/>
        <s v="22/5/2015"/>
        <s v="23/5/2015"/>
        <s v="24/5/2015"/>
        <s v="25/5/2015"/>
        <s v="26/5/2015"/>
        <s v="27/5/2015"/>
        <s v="28/5/2015"/>
        <s v="29/5/2015"/>
        <s v="30/5/2015"/>
        <s v="31/5/2015"/>
        <d v="2015-01-06T00:00:00"/>
        <d v="2015-02-06T00:00:00"/>
        <d v="2015-03-06T00:00:00"/>
        <d v="2015-04-06T00:00:00"/>
        <d v="2015-05-06T00:00:00"/>
        <d v="2015-06-06T00:00:00"/>
        <d v="2015-07-06T00:00:00"/>
        <d v="2015-08-06T00:00:00"/>
        <d v="2015-09-06T00:00:00"/>
        <d v="2015-10-06T00:00:00"/>
        <d v="2015-11-06T00:00:00"/>
        <d v="2015-12-06T00:00:00"/>
        <s v="13/6/2015"/>
        <s v="14/6/2015"/>
        <s v="15/6/2015"/>
        <s v="16/6/2015"/>
        <s v="17/6/2015"/>
        <s v="18/6/2015"/>
        <s v="19/6/2015"/>
        <s v="20/6/2015"/>
        <s v="21/6/2015"/>
        <s v="22/6/2015"/>
        <s v="23/6/2015"/>
        <s v="24/6/2015"/>
        <s v="25/6/2015"/>
        <s v="26/6/2015"/>
        <s v="27/6/2015"/>
        <s v="28/6/2015"/>
        <s v="29/6/2015"/>
        <s v="30/6/2015"/>
        <d v="2015-01-07T00:00:00"/>
        <d v="2015-02-07T00:00:00"/>
        <d v="2015-03-07T00:00:00"/>
        <d v="2015-04-07T00:00:00"/>
        <d v="2015-05-07T00:00:00"/>
        <d v="2015-06-07T00:00:00"/>
        <d v="2015-07-07T00:00:00"/>
        <d v="2015-08-07T00:00:00"/>
        <d v="2015-09-07T00:00:00"/>
        <d v="2015-10-07T00:00:00"/>
        <d v="2015-11-07T00:00:00"/>
        <d v="2015-12-07T00:00:00"/>
        <s v="13/7/2015"/>
        <s v="14/7/2015"/>
        <s v="15/7/2015"/>
        <s v="16/7/2015"/>
        <s v="17/7/2015"/>
        <s v="18/7/2015"/>
        <s v="19/7/2015"/>
        <s v="20/7/2015"/>
        <s v="21/7/2015"/>
        <s v="22/7/2015"/>
        <s v="23/7/2015"/>
        <s v="24/7/2015"/>
        <s v="25/7/2015"/>
        <s v="26/7/2015"/>
        <s v="27/7/2015"/>
        <s v="28/7/2015"/>
        <s v="29/7/2015"/>
        <s v="30/7/2015"/>
        <s v="31/7/2015"/>
        <d v="2015-01-08T00:00:00"/>
        <d v="2015-02-08T00:00:00"/>
        <d v="2015-03-08T00:00:00"/>
        <d v="2015-04-08T00:00:00"/>
        <d v="2015-05-08T00:00:00"/>
        <d v="2015-06-08T00:00:00"/>
        <d v="2015-07-08T00:00:00"/>
        <d v="2015-08-08T00:00:00"/>
        <d v="2015-09-08T00:00:00"/>
        <d v="2015-10-08T00:00:00"/>
        <d v="2015-11-08T00:00:00"/>
        <d v="2015-12-08T00:00:00"/>
        <s v="13/8/2015"/>
        <s v="14/8/2015"/>
        <s v="15/8/2015"/>
        <s v="16/8/2015"/>
        <s v="17/8/2015"/>
        <s v="18/8/2015"/>
        <s v="19/8/2015"/>
        <s v="20/8/2015"/>
        <s v="21/8/2015"/>
        <s v="22/8/2015"/>
        <s v="23/8/2015"/>
        <s v="24/8/2015"/>
        <s v="25/8/2015"/>
        <s v="26/8/2015"/>
        <s v="27/8/2015"/>
        <s v="28/8/2015"/>
        <s v="29/8/2015"/>
        <s v="30/8/2015"/>
        <s v="31/8/2015"/>
        <d v="2015-01-09T00:00:00"/>
        <d v="2015-02-09T00:00:00"/>
        <d v="2015-03-09T00:00:00"/>
        <d v="2015-04-09T00:00:00"/>
        <d v="2015-05-09T00:00:00"/>
        <d v="2015-06-09T00:00:00"/>
        <d v="2015-07-09T00:00:00"/>
        <d v="2015-08-09T00:00:00"/>
        <d v="2015-09-09T00:00:00"/>
        <d v="2015-10-09T00:00:00"/>
        <d v="2015-11-09T00:00:00"/>
        <d v="2015-12-09T00:00:00"/>
        <s v="13/9/2015"/>
        <s v="14/9/2015"/>
        <s v="15/9/2015"/>
        <s v="16/9/2015"/>
        <s v="17/9/2015"/>
        <s v="18/9/2015"/>
        <s v="19/9/2015"/>
        <s v="20/9/2015"/>
        <s v="21/9/2015"/>
        <s v="22/9/2015"/>
        <s v="23/9/2015"/>
        <s v="24/9/2015"/>
        <s v="25/9/2015"/>
        <s v="26/9/2015"/>
        <s v="27/9/2015"/>
        <s v="28/9/2015"/>
        <s v="29/9/2015"/>
        <s v="30/9/2015"/>
        <d v="2015-01-10T00:00:00"/>
        <d v="2015-02-10T00:00:00"/>
        <d v="2015-03-10T00:00:00"/>
        <d v="2015-04-10T00:00:00"/>
        <d v="2015-05-10T00:00:00"/>
        <d v="2015-06-10T00:00:00"/>
        <d v="2015-07-10T00:00:00"/>
        <d v="2015-08-10T00:00:00"/>
        <d v="2015-09-10T00:00:00"/>
        <d v="2015-10-10T00:00:00"/>
        <d v="2015-11-10T00:00:00"/>
        <d v="2015-12-10T00:00:00"/>
        <s v="13/10/2015"/>
        <s v="14/10/2015"/>
        <s v="15/10/2015"/>
        <s v="16/10/2015"/>
        <s v="17/10/2015"/>
        <s v="18/10/2015"/>
        <s v="19/10/2015"/>
        <s v="20/10/2015"/>
        <s v="21/10/2015"/>
        <s v="22/10/2015"/>
        <s v="23/10/2015"/>
        <s v="24/10/2015"/>
        <s v="25/10/2015"/>
        <s v="26/10/2015"/>
        <s v="27/10/2015"/>
        <s v="28/10/2015"/>
        <s v="29/10/2015"/>
        <s v="30/10/2015"/>
        <s v="31/10/2015"/>
        <d v="2015-01-11T00:00:00"/>
        <d v="2015-02-11T00:00:00"/>
        <d v="2015-03-11T00:00:00"/>
        <d v="2015-04-11T00:00:00"/>
        <d v="2015-05-11T00:00:00"/>
        <d v="2015-06-11T00:00:00"/>
        <d v="2015-07-11T00:00:00"/>
        <d v="2015-08-11T00:00:00"/>
        <d v="2015-09-11T00:00:00"/>
        <d v="2015-10-11T00:00:00"/>
        <d v="2015-11-11T00:00:00"/>
        <d v="2015-12-11T00:00:00"/>
        <s v="13/11/2015"/>
        <s v="14/11/2015"/>
        <s v="15/11/2015"/>
        <s v="16/11/2015"/>
        <s v="17/11/2015"/>
        <s v="18/11/2015"/>
        <s v="19/11/2015"/>
        <s v="20/11/2015"/>
        <s v="21/11/2015"/>
        <s v="22/11/2015"/>
        <s v="23/11/2015"/>
        <s v="24/11/2015"/>
        <s v="25/11/2015"/>
        <s v="26/11/2015"/>
        <s v="27/11/2015"/>
        <s v="28/11/2015"/>
        <s v="29/11/2015"/>
        <s v="30/11/2015"/>
        <d v="2015-01-12T00:00:00"/>
        <d v="2015-02-12T00:00:00"/>
        <d v="2015-03-12T00:00:00"/>
        <d v="2015-04-12T00:00:00"/>
        <d v="2015-05-12T00:00:00"/>
        <d v="2015-06-12T00:00:00"/>
        <d v="2015-07-12T00:00:00"/>
        <d v="2015-08-12T00:00:00"/>
        <d v="2015-09-12T00:00:00"/>
        <d v="2015-10-12T00:00:00"/>
        <d v="2015-11-12T00:00:00"/>
        <d v="2015-12-12T00:00:00"/>
        <s v="13/12/2015"/>
        <s v="14/12/2015"/>
        <s v="15/12/2015"/>
        <s v="16/12/2015"/>
        <s v="17/12/2015"/>
        <s v="18/12/2015"/>
        <s v="19/12/2015"/>
        <s v="20/12/2015"/>
        <s v="21/12/2015"/>
        <s v="22/12/2015"/>
        <s v="23/12/2015"/>
        <s v="24/12/2015"/>
        <s v="25/12/2015"/>
        <s v="26/12/2015"/>
        <s v="27/12/2015"/>
        <s v="28/12/2015"/>
        <s v="29/12/2015"/>
        <s v="30/12/2015"/>
        <s v="31/12/2015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s v="13/1/2016"/>
        <s v="14/1/2016"/>
        <s v="15/1/2016"/>
        <s v="16/1/2016"/>
        <s v="17/1/2016"/>
        <s v="18/1/2016"/>
        <s v="19/1/2016"/>
        <s v="20/1/2016"/>
        <s v="21/1/2016"/>
        <s v="22/1/2016"/>
        <s v="23/1/2016"/>
        <s v="24/1/2016"/>
        <s v="25/1/2016"/>
        <s v="26/1/2016"/>
        <s v="27/1/2016"/>
        <s v="28/1/2016"/>
        <s v="29/1/2016"/>
        <s v="30/1/2016"/>
        <s v="31/1/2016"/>
        <d v="2016-01-02T00:00:00"/>
        <d v="2016-02-02T00:00:00"/>
        <d v="2016-03-02T00:00:00"/>
        <d v="2016-04-02T00:00:00"/>
        <d v="2016-05-02T00:00:00"/>
        <d v="2016-06-02T00:00:00"/>
        <d v="2016-07-02T00:00:00"/>
        <d v="2016-08-02T00:00:00"/>
        <d v="2016-09-02T00:00:00"/>
        <d v="2016-10-02T00:00:00"/>
        <d v="2016-11-02T00:00:00"/>
        <d v="2016-12-02T00:00:00"/>
        <s v="13/2/2016"/>
        <s v="14/2/2016"/>
        <s v="15/2/2016"/>
        <s v="16/2/2016"/>
        <s v="17/2/2016"/>
        <s v="18/2/2016"/>
        <s v="19/2/2016"/>
        <s v="20/2/2016"/>
        <s v="21/2/2016"/>
        <s v="22/2/2016"/>
        <s v="23/2/2016"/>
        <s v="24/2/2016"/>
        <s v="25/2/2016"/>
        <s v="26/2/2016"/>
        <s v="27/2/2016"/>
        <s v="28/2/2016"/>
        <s v="29/2/2016"/>
        <d v="2016-01-03T00:00:00"/>
        <d v="2016-02-03T00:00:00"/>
        <d v="2016-03-03T00:00:00"/>
        <d v="2016-04-03T00:00:00"/>
        <d v="2016-05-03T00:00:00"/>
        <d v="2016-06-03T00:00:00"/>
        <d v="2016-07-03T00:00:00"/>
        <d v="2016-08-03T00:00:00"/>
        <d v="2016-09-03T00:00:00"/>
        <d v="2016-10-03T00:00:00"/>
        <d v="2016-11-03T00:00:00"/>
        <d v="2016-12-03T00:00:00"/>
        <s v="13/3/2016"/>
        <s v="14/3/2016"/>
        <s v="15/3/2016"/>
        <s v="16/3/2016"/>
        <s v="17/3/2016"/>
        <s v="18/3/2016"/>
        <s v="19/3/2016"/>
        <s v="20/3/2016"/>
        <s v="21/3/2016"/>
        <s v="22/3/2016"/>
        <s v="23/3/2016"/>
        <s v="24/3/2016"/>
        <s v="25/3/2016"/>
        <s v="26/3/2016"/>
        <s v="27/3/2016"/>
        <s v="28/3/2016"/>
        <s v="29/3/2016"/>
        <s v="30/3/2016"/>
        <s v="31/3/2016"/>
        <d v="2016-01-04T00:00:00"/>
        <d v="2016-02-04T00:00:00"/>
        <d v="2016-03-04T00:00:00"/>
        <d v="2016-04-04T00:00:00"/>
        <d v="2016-05-04T00:00:00"/>
        <d v="2016-06-04T00:00:00"/>
        <d v="2016-07-04T00:00:00"/>
        <d v="2016-08-04T00:00:00"/>
        <d v="2016-09-04T00:00:00"/>
        <d v="2016-10-04T00:00:00"/>
        <d v="2016-11-04T00:00:00"/>
        <d v="2016-12-04T00:00:00"/>
        <s v="13/4/2016"/>
        <s v="14/4/2016"/>
        <s v="15/4/2016"/>
        <s v="16/4/2016"/>
        <s v="17/4/2016"/>
        <s v="18/4/2016"/>
        <s v="19/4/2016"/>
        <s v="20/4/2016"/>
        <s v="21/4/2016"/>
        <s v="22/4/2016"/>
        <s v="23/4/2016"/>
        <s v="24/4/2016"/>
        <s v="25/4/2016"/>
        <s v="26/4/2016"/>
        <s v="27/4/2016"/>
        <s v="28/4/2016"/>
        <s v="29/4/2016"/>
        <s v="30/4/2016"/>
        <d v="2016-01-05T00:00:00"/>
        <d v="2016-02-05T00:00:00"/>
        <d v="2016-03-05T00:00:00"/>
        <d v="2016-04-05T00:00:00"/>
        <d v="2016-05-05T00:00:00"/>
        <d v="2016-06-05T00:00:00"/>
        <d v="2016-07-05T00:00:00"/>
        <d v="2016-08-05T00:00:00"/>
        <d v="2016-09-05T00:00:00"/>
        <d v="2016-10-05T00:00:00"/>
        <d v="2016-11-05T00:00:00"/>
        <d v="2016-12-05T00:00:00"/>
        <s v="13/5/2016"/>
        <s v="14/5/2016"/>
        <s v="15/5/2016"/>
        <s v="16/5/2016"/>
        <s v="17/5/2016"/>
        <s v="18/5/2016"/>
        <s v="19/5/2016"/>
        <s v="20/5/2016"/>
        <s v="21/5/2016"/>
        <s v="22/5/2016"/>
        <s v="23/5/2016"/>
        <s v="24/5/2016"/>
        <s v="25/5/2016"/>
        <s v="26/5/2016"/>
        <s v="27/5/2016"/>
        <s v="28/5/2016"/>
        <s v="29/5/2016"/>
        <s v="30/5/2016"/>
        <s v="31/5/2016"/>
        <d v="2016-01-06T00:00:00"/>
        <d v="2016-02-06T00:00:00"/>
        <d v="2016-03-06T00:00:00"/>
        <d v="2016-04-06T00:00:00"/>
        <d v="2016-05-06T00:00:00"/>
        <d v="2016-06-06T00:00:00"/>
        <d v="2016-07-06T00:00:00"/>
        <d v="2016-08-06T00:00:00"/>
        <d v="2016-09-06T00:00:00"/>
        <d v="2016-10-06T00:00:00"/>
        <d v="2016-11-06T00:00:00"/>
        <d v="2016-12-06T00:00:00"/>
        <s v="13/6/2016"/>
        <s v="14/6/2016"/>
        <s v="15/6/2016"/>
        <s v="16/6/2016"/>
        <s v="17/6/2016"/>
        <s v="18/6/2016"/>
        <s v="19/6/2016"/>
        <s v="20/6/2016"/>
        <s v="21/6/2016"/>
        <s v="22/6/2016"/>
        <s v="23/6/2016"/>
        <s v="24/6/2016"/>
        <s v="25/6/2016"/>
        <s v="26/6/2016"/>
        <s v="27/6/2016"/>
        <s v="28/6/2016"/>
        <s v="29/6/2016"/>
        <s v="30/6/2016"/>
        <d v="2016-01-07T00:00:00"/>
        <d v="2016-02-07T00:00:00"/>
        <d v="2016-03-07T00:00:00"/>
        <d v="2016-04-07T00:00:00"/>
        <d v="2016-05-07T00:00:00"/>
        <d v="2016-06-07T00:00:00"/>
        <d v="2016-07-07T00:00:00"/>
        <d v="2016-08-07T00:00:00"/>
        <d v="2016-09-07T00:00:00"/>
        <d v="2016-10-07T00:00:00"/>
        <d v="2016-11-07T00:00:00"/>
        <d v="2016-12-07T00:00:00"/>
        <s v="13/7/2016"/>
        <s v="14/7/2016"/>
        <s v="15/7/2016"/>
        <s v="16/7/2016"/>
        <s v="17/7/2016"/>
        <s v="18/7/2016"/>
        <s v="19/7/2016"/>
        <s v="20/7/2016"/>
        <s v="21/7/2016"/>
        <s v="22/7/2016"/>
        <s v="23/7/2016"/>
        <s v="24/7/2016"/>
        <s v="25/7/2016"/>
        <s v="26/7/2016"/>
        <s v="27/7/2016"/>
        <s v="28/7/2016"/>
        <s v="29/7/2016"/>
        <s v="30/7/2016"/>
        <s v="31/7/2016"/>
        <d v="2016-01-08T00:00:00"/>
        <d v="2016-02-08T00:00:00"/>
        <d v="2016-03-08T00:00:00"/>
        <d v="2016-04-08T00:00:00"/>
        <d v="2016-05-08T00:00:00"/>
        <d v="2016-06-08T00:00:00"/>
        <d v="2016-07-08T00:00:00"/>
        <d v="2016-08-08T00:00:00"/>
        <d v="2016-09-08T00:00:00"/>
        <d v="2016-10-08T00:00:00"/>
        <d v="2016-11-08T00:00:00"/>
        <d v="2016-12-08T00:00:00"/>
        <s v="13/8/2016"/>
        <s v="14/8/2016"/>
        <s v="15/8/2016"/>
        <s v="16/8/2016"/>
        <s v="17/8/2016"/>
        <s v="18/8/2016"/>
        <s v="19/8/2016"/>
        <s v="20/8/2016"/>
        <s v="21/8/2016"/>
        <s v="22/8/2016"/>
        <s v="23/8/2016"/>
        <s v="24/8/2016"/>
        <s v="25/8/2016"/>
        <s v="26/8/2016"/>
        <s v="27/8/2016"/>
        <s v="28/8/2016"/>
        <s v="29/8/2016"/>
        <s v="30/8/2016"/>
        <s v="31/8/2016"/>
        <d v="2016-01-09T00:00:00"/>
        <d v="2016-02-09T00:00:00"/>
        <d v="2016-03-09T00:00:00"/>
        <d v="2016-04-09T00:00:00"/>
        <d v="2016-05-09T00:00:00"/>
        <d v="2016-06-09T00:00:00"/>
        <d v="2016-07-09T00:00:00"/>
        <d v="2016-08-09T00:00:00"/>
        <d v="2016-09-09T00:00:00"/>
        <d v="2016-10-09T00:00:00"/>
        <d v="2016-11-09T00:00:00"/>
        <d v="2016-12-09T00:00:00"/>
        <s v="13/9/2016"/>
        <s v="14/9/2016"/>
        <s v="15/9/2016"/>
        <s v="16/9/2016"/>
        <s v="17/9/2016"/>
        <s v="18/9/2016"/>
        <s v="19/9/2016"/>
        <s v="20/9/2016"/>
        <s v="21/9/2016"/>
        <s v="22/9/2016"/>
        <s v="23/9/2016"/>
        <s v="24/9/2016"/>
        <s v="25/9/2016"/>
        <s v="26/9/2016"/>
        <s v="27/9/2016"/>
        <s v="28/9/2016"/>
        <s v="29/9/2016"/>
        <s v="30/9/2016"/>
        <d v="2016-01-10T00:00:00"/>
        <d v="2016-02-10T00:00:00"/>
        <d v="2016-03-10T00:00:00"/>
        <d v="2016-04-10T00:00:00"/>
        <d v="2016-05-10T00:00:00"/>
        <d v="2016-06-10T00:00:00"/>
        <d v="2016-07-10T00:00:00"/>
        <d v="2016-08-10T00:00:00"/>
        <d v="2016-09-10T00:00:00"/>
        <d v="2016-10-10T00:00:00"/>
        <d v="2016-11-10T00:00:00"/>
        <d v="2016-12-10T00:00:00"/>
        <s v="13/10/2016"/>
        <s v="14/10/2016"/>
        <s v="15/10/2016"/>
        <s v="16/10/2016"/>
        <s v="17/10/2016"/>
        <s v="18/10/2016"/>
        <s v="19/10/2016"/>
        <s v="20/10/2016"/>
        <s v="21/10/2016"/>
        <s v="22/10/2016"/>
        <s v="23/10/2016"/>
        <s v="24/10/2016"/>
        <s v="25/10/2016"/>
        <s v="26/10/2016"/>
        <s v="27/10/2016"/>
        <s v="28/10/2016"/>
        <s v="29/10/2016"/>
        <s v="30/10/2016"/>
        <s v="31/10/2016"/>
        <d v="2016-01-11T00:00:00"/>
        <d v="2016-02-11T00:00:00"/>
        <d v="2016-03-11T00:00:00"/>
        <d v="2016-04-11T00:00:00"/>
        <d v="2016-05-11T00:00:00"/>
        <d v="2016-06-11T00:00:00"/>
        <d v="2016-07-11T00:00:00"/>
        <d v="2016-08-11T00:00:00"/>
        <d v="2016-09-11T00:00:00"/>
        <d v="2016-10-11T00:00:00"/>
        <d v="2016-11-11T00:00:00"/>
        <d v="2016-12-11T00:00:00"/>
        <s v="13/11/2016"/>
        <s v="14/11/2016"/>
        <s v="15/11/2016"/>
        <s v="16/11/2016"/>
        <m/>
      </sharedItems>
    </cacheField>
    <cacheField name="Sales" numFmtId="0">
      <sharedItems containsString="0" containsBlank="1" containsNumber="1" minValue="20495.11303" maxValue="846678.38820000004"/>
    </cacheField>
    <cacheField name="Cost Of Sales" numFmtId="0">
      <sharedItems containsString="0" containsBlank="1" containsNumber="1" minValue="18375.052609999999" maxValue="872081.58499999996"/>
    </cacheField>
    <cacheField name="Quantity Sold" numFmtId="0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Unit Price" numFmtId="0">
      <sharedItems containsString="0" containsBlank="1" containsNumber="1" minValue="30.702370086979268" maxValue="43.805996534316506"/>
    </cacheField>
    <cacheField name="Gross Profit" numFmtId="0">
      <sharedItems containsString="0" containsBlank="1" containsNumber="1" minValue="-80692.179200000013" maxValue="27831.94379999995" count="1054">
        <n v="-6141.653100000025"/>
        <n v="-6640.6358999999939"/>
        <n v="-1203.8504799999937"/>
        <n v="-2708.0609000000113"/>
        <n v="-6900.2177000000374"/>
        <n v="-6608.4128999999957"/>
        <n v="-3894.4005000000179"/>
        <n v="-7094.1171999999788"/>
        <n v="-5513.5636999999988"/>
        <n v="2454.4346799999912"/>
        <n v="2987.8464000000095"/>
        <n v="3495.9604000000108"/>
        <n v="3391.8123999999953"/>
        <n v="2296.2257399999944"/>
        <n v="2696.86510000001"/>
        <n v="1994.0399000000034"/>
        <n v="1786.3685699999915"/>
        <n v="1554.4685500000051"/>
        <n v="2757.2842999999993"/>
        <n v="2997.3378999999841"/>
        <n v="1515.0228599999973"/>
        <n v="1567.2884400000039"/>
        <n v="1533.0982199999999"/>
        <n v="649.02023999999801"/>
        <n v="1113.7631099999999"/>
        <n v="2135.0046000000002"/>
        <n v="2636.5481999999902"/>
        <n v="1302.0489600000001"/>
        <n v="976.2694199999969"/>
        <n v="646.80552000000171"/>
        <n v="928.859890000007"/>
        <n v="882.52943999999843"/>
        <n v="2084.3658999999752"/>
        <n v="2773.4131999999809"/>
        <n v="1967.064200000008"/>
        <n v="2686.8986999999906"/>
        <n v="1630.3622000000032"/>
        <n v="-7922.7347999999765"/>
        <n v="336.71959999999672"/>
        <n v="-11975.345100000035"/>
        <n v="-13681.602000000014"/>
        <n v="-6352.6661000000022"/>
        <n v="-7101.168399999995"/>
        <n v="-4325.4151999999885"/>
        <n v="-3460.5236999999906"/>
        <n v="-2735.8012000000163"/>
        <n v="-6618.5038000000059"/>
        <n v="-6244.3251000000164"/>
        <n v="-2883.2360000000044"/>
        <n v="-2086.7593999999808"/>
        <n v="2128.6861300000019"/>
        <n v="-1309.2522999999928"/>
        <n v="3006.159599999999"/>
        <n v="-4173.4710999999661"/>
        <n v="-10899.048699999985"/>
        <n v="-2261.0516000000061"/>
        <n v="-1359.1820000000007"/>
        <n v="-2551.790399999998"/>
        <n v="-3162.5505999999878"/>
        <n v="-21635.970600000001"/>
        <n v="-24780.290999999968"/>
        <n v="-25403.196799999918"/>
        <n v="-16652.145000000019"/>
        <n v="-18739.934899999993"/>
        <n v="-12978.908600000024"/>
        <n v="-10917.984899999981"/>
        <n v="-332.03020000000834"/>
        <n v="-18456.575200000021"/>
        <n v="-21352.208600000013"/>
        <n v="-8890.73020000002"/>
        <n v="-11412.212500000023"/>
        <n v="-4356.024700000009"/>
        <n v="-5453.0348999999987"/>
        <n v="-4311.2063999999955"/>
        <n v="-10824.568900000013"/>
        <n v="-16199.932700000005"/>
        <n v="-6573.1496999999799"/>
        <n v="-7086.3494000000064"/>
        <n v="4278.1548800000019"/>
        <n v="4130.942080000008"/>
        <n v="8050.5233000000007"/>
        <n v="8920.5480999999854"/>
        <n v="7752.6197000000102"/>
        <n v="3133.1768300000113"/>
        <n v="3674.568299999999"/>
        <n v="2832.7255000000005"/>
        <n v="3034.9337999999989"/>
        <n v="1265.7646000000095"/>
        <n v="4623.8736999999965"/>
        <n v="5118.4367999999668"/>
        <n v="3340.0634000000136"/>
        <n v="3647.0192999999854"/>
        <n v="4834.5204000000085"/>
        <n v="2254.4850000000151"/>
        <n v="1478.9096000000136"/>
        <n v="2817.5875000000233"/>
        <n v="3569.7682999999961"/>
        <n v="2333.7854000000079"/>
        <n v="1125.7528000000166"/>
        <n v="3615.5025000000023"/>
        <n v="3563.579700000002"/>
        <n v="-3952.0121999999974"/>
        <n v="-7372.7089000000269"/>
        <n v="-8696.0847000000067"/>
        <n v="-3668.3233999999939"/>
        <n v="-4559.7409000000043"/>
        <n v="-6151.1368000000075"/>
        <n v="-7498.9414000000106"/>
        <n v="-15691.752899999963"/>
        <n v="-11877.025800000003"/>
        <n v="-9284.6723999999813"/>
        <n v="-2911.2488999999914"/>
        <n v="-4244.2633999999962"/>
        <n v="-4861.5907000000007"/>
        <n v="2508.5137000000104"/>
        <n v="2232.6318800000008"/>
        <n v="3414.3187000000034"/>
        <n v="3894.3987999999663"/>
        <n v="1922.6374999999971"/>
        <n v="1659.742699999988"/>
        <n v="1437.3076999999903"/>
        <n v="4205.7090999999782"/>
        <n v="4637.6182999999728"/>
        <n v="6548.410200000013"/>
        <n v="3834.847700000013"/>
        <n v="1480.5374199999933"/>
        <n v="1426.8601000000053"/>
        <n v="3692.4688000000024"/>
        <n v="-1437.5812000000005"/>
        <n v="2639.2328100000013"/>
        <n v="-22610.641699999978"/>
        <n v="-33558.106499999994"/>
        <n v="-15500.5478"/>
        <n v="-14421.786800000002"/>
        <n v="-11526.588199999998"/>
        <n v="-16978.034299999999"/>
        <n v="-19741.247699999949"/>
        <n v="-26475.383299999987"/>
        <n v="-27990.379399999976"/>
        <n v="-7943.4604000000108"/>
        <n v="-7019.4861000000092"/>
        <n v="-9624.6400999999896"/>
        <n v="-9581.8628000000026"/>
        <n v="463.77430000000459"/>
        <n v="-18753.161800000002"/>
        <n v="-23602.968400000012"/>
        <n v="-6599.7449999999953"/>
        <n v="-7418.2467000000179"/>
        <n v="-8364.0488999999943"/>
        <n v="-9208.4267000000109"/>
        <n v="-7689.4175000000105"/>
        <n v="-18501.654800000018"/>
        <n v="-22510.597300000023"/>
        <n v="-17206.517600000021"/>
        <n v="-16310.795199999993"/>
        <n v="-12695.821699999971"/>
        <n v="-10496.673699999985"/>
        <n v="-7835.0013999999792"/>
        <n v="-12095.255000000005"/>
        <n v="-15508.041599999997"/>
        <n v="-7482.1313999999838"/>
        <n v="-6077.2357999999949"/>
        <n v="-6920.2597999999998"/>
        <n v="-6653.6062000000093"/>
        <n v="-7486.1387000000104"/>
        <n v="-17478.914199999999"/>
        <n v="-18709.538099999947"/>
        <n v="-9321.9107999999833"/>
        <n v="-7734.040399999998"/>
        <n v="-8716.1355999999796"/>
        <n v="-7797.8183999999892"/>
        <n v="-5808.2035999999935"/>
        <n v="-2185.5600999999733"/>
        <n v="-3573.6680000000051"/>
        <n v="-428.03800000000047"/>
        <n v="-907.81669999999576"/>
        <n v="1393.6156199999969"/>
        <n v="2152.285060000002"/>
        <n v="2092.4662500000049"/>
        <n v="4418.8111999999965"/>
        <n v="5156.7472000000125"/>
        <n v="1989.7155700000003"/>
        <n v="3325.4709000000003"/>
        <n v="6340.1105000000098"/>
        <n v="3144.9741999999969"/>
        <n v="2523.4440199999954"/>
        <n v="2664.2819100000052"/>
        <n v="3166.6352999999945"/>
        <n v="1900.8387599999987"/>
        <n v="1927.5339400000084"/>
        <n v="3044.1027999999933"/>
        <n v="2306.1139700000058"/>
        <n v="2727.5886000000028"/>
        <n v="3384.8265999999858"/>
        <n v="2588.801689999993"/>
        <n v="1334.9230100000059"/>
        <n v="1991.127959999998"/>
        <n v="2850.8532000000123"/>
        <n v="-8104.6677999999956"/>
        <n v="1978.1987000000081"/>
        <n v="3003.5066999999981"/>
        <n v="-13020.90399999998"/>
        <n v="2057.729560000007"/>
        <n v="2094.7955999999976"/>
        <n v="1394.9079800000036"/>
        <n v="-7983.1870000000054"/>
        <n v="3201.3449600000022"/>
        <n v="-22561.475999999966"/>
        <n v="-24080.147600000026"/>
        <n v="-10932.084500000055"/>
        <n v="-11873.633299999987"/>
        <n v="-8656.0800000000163"/>
        <n v="-7884.4928000000073"/>
        <n v="-11714.068099999975"/>
        <n v="-24446.642700000084"/>
        <n v="-25094.744699999923"/>
        <n v="-12227.325799999991"/>
        <n v="-14539.218300000008"/>
        <n v="-10459.699399999983"/>
        <n v="3048.2669699999969"/>
        <n v="3905.3894800000126"/>
        <n v="-17088.199800000002"/>
        <n v="-15724.598799999978"/>
        <n v="-7464.6618000000017"/>
        <n v="-8787.1745999999985"/>
        <n v="-7112.9305000000168"/>
        <n v="-7416.0103000000236"/>
        <n v="-6778.6935000000231"/>
        <n v="-18237.540500000003"/>
        <n v="-21352.478600000031"/>
        <n v="-9689.1418000000122"/>
        <n v="-10308.323599999974"/>
        <n v="-6649.1180999999924"/>
        <n v="-3135.8430999999982"/>
        <n v="-3031.5881999999983"/>
        <n v="-7227.209600000002"/>
        <n v="-9616.5973000000231"/>
        <n v="-3955.3968999999925"/>
        <n v="-6889.3342999999877"/>
        <n v="-17036.011200000008"/>
        <n v="-29622.531300000031"/>
        <n v="-29102.396699999983"/>
        <n v="-66930.591600000043"/>
        <n v="-80692.179200000013"/>
        <n v="-40391.61109999998"/>
        <n v="-67897.355900000082"/>
        <n v="-54010.362300000037"/>
        <n v="-53112.744000000006"/>
        <n v="-35865.166499999992"/>
        <n v="-57487.689899999998"/>
        <n v="-63465.947600000072"/>
        <n v="-26934.624199999991"/>
        <n v="-28151.902100000007"/>
        <n v="2678.6850999999879"/>
        <n v="1664.8601300000009"/>
        <n v="1385.7498199999973"/>
        <n v="2678.2516999999934"/>
        <n v="3072.6251999999804"/>
        <n v="1487.3242499999906"/>
        <n v="2142.1395000000048"/>
        <n v="1450.772100000002"/>
        <n v="1296.1154099999985"/>
        <n v="1145.0618400000094"/>
        <n v="1878.0444999999891"/>
        <n v="2192.9262999999919"/>
        <n v="1086.6523400000005"/>
        <n v="1162.292220000003"/>
        <n v="1237.7474000000075"/>
        <n v="-13645.703500000003"/>
        <n v="-24602.300199999998"/>
        <n v="-40516.934199999901"/>
        <n v="-43991.499799999991"/>
        <n v="-20590.054399999965"/>
        <n v="-19595.858300000022"/>
        <n v="-26798.458600000013"/>
        <n v="-44868.288000000059"/>
        <n v="-35564.37030000001"/>
        <n v="-39245.840599999996"/>
        <n v="-49645.471900000004"/>
        <n v="-21224.537300000025"/>
        <n v="-28530.903599999961"/>
        <n v="3859.8417300000001"/>
        <n v="3367.1531600000017"/>
        <n v="5215.371920000005"/>
        <n v="9083.8506000000052"/>
        <n v="6845.9230000000098"/>
        <n v="3045.2207200000048"/>
        <n v="4407.4261899999983"/>
        <n v="3256.5604900000035"/>
        <n v="6077.9236999999994"/>
        <n v="4141.9221400000097"/>
        <n v="4108.070000000007"/>
        <n v="5005.9697999999917"/>
        <n v="2781.164300000004"/>
        <n v="2853.1031199999998"/>
        <n v="2971.5356000000029"/>
        <n v="2563.8769400000019"/>
        <n v="2712.3021699999954"/>
        <n v="7013.5096000000194"/>
        <n v="8592.0121999999974"/>
        <n v="3781.4938999999868"/>
        <n v="4533.3311000000103"/>
        <n v="2460.5053100000077"/>
        <n v="1879.3348300000071"/>
        <n v="1411.3947199999966"/>
        <n v="3332.6782999999996"/>
        <n v="4814.3010000000068"/>
        <n v="2829.8444000000018"/>
        <n v="4087.6835999999894"/>
        <n v="8295.2396000000008"/>
        <n v="4884.0887700000021"/>
        <n v="2381.3719899999996"/>
        <n v="3628.6006000000052"/>
        <n v="4026.4777999999933"/>
        <n v="2121.282389999993"/>
        <n v="2135.6858300000022"/>
        <n v="1306.499960000001"/>
        <n v="1146.9235800000024"/>
        <n v="1035.9035300000032"/>
        <n v="2813.2703999999794"/>
        <n v="3787.2329000000027"/>
        <n v="1965.6266100000066"/>
        <n v="1894.5449700000026"/>
        <n v="1473.4376600000032"/>
        <n v="1119.5492999999988"/>
        <n v="1002.7387400000007"/>
        <n v="6781.4239600000001"/>
        <n v="6318.8942800000004"/>
        <n v="4326.6468499999974"/>
        <n v="3354.2821499999991"/>
        <n v="4856.4515300000057"/>
        <n v="4316.5821699999979"/>
        <n v="5056.9691300000013"/>
        <n v="6165.6289099999995"/>
        <n v="8441.3818699999974"/>
        <n v="7859.9431000000041"/>
        <n v="7843.2729300000065"/>
        <n v="2686.0965699999942"/>
        <n v="1935.4389800000063"/>
        <n v="493.59313999999722"/>
        <n v="264.88671999999497"/>
        <n v="-4628.7178999999887"/>
        <n v="-7228.3617999999988"/>
        <n v="-960.13770999999542"/>
        <n v="-1588.8122599999915"/>
        <n v="-7503.7092000000121"/>
        <n v="-13089.636599999998"/>
        <n v="-22144.013899999962"/>
        <n v="-33213.68909999996"/>
        <n v="-14827.213000000018"/>
        <n v="-22243.00959999999"/>
        <n v="-13533.203399999999"/>
        <n v="-12226.523599999986"/>
        <n v="-19076.625700000004"/>
        <n v="-25173.183499999985"/>
        <n v="-30211.230099999986"/>
        <n v="-16811.10149999999"/>
        <n v="-5623.8275999999896"/>
        <n v="-10232.407499999972"/>
        <n v="-9678.7693999999901"/>
        <n v="-2839.2545999999857"/>
        <n v="-925.40265999999974"/>
        <n v="-2221.4272000000055"/>
        <n v="-1431.3807099999976"/>
        <n v="-2696.1135000000068"/>
        <n v="-19334.260500000004"/>
        <n v="-32958.036300000036"/>
        <n v="-10009.012100000007"/>
        <n v="-23918.007700000016"/>
        <n v="-21921.437000000005"/>
        <n v="-16032.635999999999"/>
        <n v="-19544.396000000008"/>
        <n v="-15794.755200000014"/>
        <n v="-1552.3498099999997"/>
        <n v="-1573.3161499999987"/>
        <n v="-2584.7544999999955"/>
        <n v="-2585.2298999999912"/>
        <n v="-1453.9961500000063"/>
        <n v="-1729.2433400000009"/>
        <n v="-1326.4499499999947"/>
        <n v="-1149.9700000000012"/>
        <n v="-1256.9913499999966"/>
        <n v="-2586.9297000000079"/>
        <n v="-2922.9471999999951"/>
        <n v="-1259.6450999999943"/>
        <n v="-966.80795000000217"/>
        <n v="-1307.4981899999984"/>
        <n v="-1348.1097300000038"/>
        <n v="-1401.1607199999999"/>
        <n v="-3360.9003000000084"/>
        <n v="-3360.3127999999851"/>
        <n v="-1702.7661799999914"/>
        <n v="-1977.6847100000014"/>
        <n v="-1621.5220700000064"/>
        <n v="-1296.4643799999976"/>
        <n v="-1221.2169499999945"/>
        <n v="-2681.323000000004"/>
        <n v="-3621.1244000000006"/>
        <n v="-3182.5275000000256"/>
        <n v="-2411.3800000000047"/>
        <n v="-1562.5207999999984"/>
        <n v="-718.28625000000466"/>
        <n v="-195.9666600000055"/>
        <n v="-35.294529999999213"/>
        <n v="255.73709999999846"/>
        <n v="-4.5730299999995623"/>
        <n v="810.61050999999861"/>
        <n v="-9855.4330999999947"/>
        <n v="-11499.724300000002"/>
        <n v="-9236.2160000000149"/>
        <n v="-23849.651899999997"/>
        <n v="-27538.145099999965"/>
        <n v="-13204.142800000001"/>
        <n v="-14217.010700000013"/>
        <n v="-8761.6067000000039"/>
        <n v="-9674.6143000000156"/>
        <n v="-8495.5696999999927"/>
        <n v="-17168.619200000016"/>
        <n v="-15648.18280000001"/>
        <n v="-7967.4343999999983"/>
        <n v="972.34755000000587"/>
        <n v="-5393.1667299999972"/>
        <n v="-11068.166599999997"/>
        <n v="-9013.3036000000138"/>
        <n v="-17456.661299999978"/>
        <n v="-24131.871999999974"/>
        <n v="-19867.707700000028"/>
        <n v="-18004.230299999996"/>
        <n v="-19381.267000000022"/>
        <n v="-20614.162500000006"/>
        <n v="-11602.171999999991"/>
        <n v="-22125.165000000037"/>
        <n v="-25322.200000000012"/>
        <n v="711.98339999999735"/>
        <n v="800.12249999999767"/>
        <n v="425.92652000000089"/>
        <n v="425.70275000000402"/>
        <n v="326.8107600000003"/>
        <n v="765.69749999999476"/>
        <n v="1017.7203000000154"/>
        <n v="349.49173000000883"/>
        <n v="513.99873000000662"/>
        <n v="360.68005000000267"/>
        <n v="286.92387000000599"/>
        <n v="231.96077000000514"/>
        <n v="427.73080999999365"/>
        <n v="531.59709999999905"/>
        <n v="197.98993000001065"/>
        <n v="210.13786000000255"/>
        <n v="-11314.444800000012"/>
        <n v="-22975.998300000007"/>
        <n v="-21176.6783"/>
        <n v="-32273.300300000003"/>
        <n v="-41877.905900000012"/>
        <n v="-20256.918999999994"/>
        <n v="-19615.888600000006"/>
        <n v="-31454.002700000012"/>
        <n v="-43589.491900000023"/>
        <n v="-62490.002899999963"/>
        <n v="-43870.603800000041"/>
        <n v="-34570.689399999974"/>
        <n v="-11757.721699999995"/>
        <n v="-15938.973899999983"/>
        <n v="-1575.94650000002"/>
        <n v="338.54270000000542"/>
        <n v="263.0867600000056"/>
        <n v="413.10349999999744"/>
        <n v="464.03170000000682"/>
        <n v="299.22694000000774"/>
        <n v="437.07825999999477"/>
        <n v="835.82747999999992"/>
        <n v="1308.5353399999949"/>
        <n v="1172.2160599999988"/>
        <n v="2502.969499999992"/>
        <n v="3297.6905000000115"/>
        <n v="1573.3553699999975"/>
        <n v="1526.531210000001"/>
        <n v="1702.1742299999969"/>
        <n v="-7526.1931000000041"/>
        <n v="1864.2840199999991"/>
        <n v="-18803.587500000023"/>
        <n v="-38423.694899999944"/>
        <n v="-10594.938199999975"/>
        <n v="-10025.43710000001"/>
        <n v="-10243.457599999994"/>
        <n v="-10498.476200000005"/>
        <n v="-20769.135600000038"/>
        <n v="-26503.522500000021"/>
        <n v="-35185.798100000015"/>
        <n v="-13738.43769999998"/>
        <n v="-16433.32799999998"/>
        <n v="-11777.968200000003"/>
        <n v="-17265.66439999998"/>
        <n v="1428.8853999999992"/>
        <n v="-24975.841899999999"/>
        <n v="-29855.016700000037"/>
        <n v="-12707.051499999972"/>
        <n v="-15233.515700000018"/>
        <n v="-14857.022800000006"/>
        <n v="-12818.445299999992"/>
        <n v="-11441.60560000001"/>
        <n v="-29219.855099999986"/>
        <n v="-31869.540199999989"/>
        <n v="-13651.904799999989"/>
        <n v="-15090.022599999997"/>
        <n v="-9905.179999999993"/>
        <n v="-12391.896699999983"/>
        <n v="2841.1101800000033"/>
        <n v="-24666.5"/>
        <n v="-32220.868699999992"/>
        <n v="-12877.875499999995"/>
        <n v="-19739.282599999977"/>
        <n v="-15333.840399999986"/>
        <n v="-18696.855800000019"/>
        <n v="-16737.404099999985"/>
        <n v="-36104.394900000014"/>
        <n v="-42114.718800000031"/>
        <n v="-20191.294400000013"/>
        <n v="-34061.328900000022"/>
        <n v="-25849.929300000018"/>
        <n v="-20656.277699999977"/>
        <n v="-15282.011100000003"/>
        <n v="-22476.778299999947"/>
        <n v="-26681.712"/>
        <n v="-13745.676200000016"/>
        <n v="3644.4640999999974"/>
        <n v="2744.1297800000029"/>
        <n v="2530.1934399999882"/>
        <n v="2449.1814699999959"/>
        <n v="5733.6356000000087"/>
        <n v="6762.1536999999953"/>
        <n v="3119.7222000000038"/>
        <n v="5538.7025999999896"/>
        <n v="3667.193220000001"/>
        <n v="3433.3975999999966"/>
        <n v="3072.8138699999981"/>
        <n v="5895.6320000000123"/>
        <n v="7016.3691000000108"/>
        <n v="3730.43581000001"/>
        <n v="3556.8438000000024"/>
        <n v="2786.6849599999987"/>
        <n v="-6815.0415000000066"/>
        <n v="-11521.91339999999"/>
        <n v="-19661.897699999972"/>
        <n v="-22772.214800000016"/>
        <n v="-11446.617599999998"/>
        <n v="-10313.349099999992"/>
        <n v="-13213.851300000009"/>
        <n v="-19016.93339999998"/>
        <n v="-15580.310699999973"/>
        <n v="-16182.513999999966"/>
        <n v="-18659.577700000023"/>
        <n v="-9095.5807999999961"/>
        <n v="-10201.227499999979"/>
        <n v="-8045.832699999999"/>
        <n v="-162.45363000000361"/>
        <n v="-1097.8782900000078"/>
        <n v="-1901.4353999999876"/>
        <n v="-1546.3810999999987"/>
        <n v="-1295.3598199999979"/>
        <n v="-1358.7280700000047"/>
        <n v="-1268.8876699999964"/>
        <n v="-1403.8298899999936"/>
        <n v="-1850.0634399999981"/>
        <n v="-3465.3898999999947"/>
        <n v="-3052.1528000000108"/>
        <n v="-1909.8847999999998"/>
        <n v="-1435.8674800000008"/>
        <n v="-1878.7441000000108"/>
        <n v="-1163.9386200000008"/>
        <n v="-2523.9241400000028"/>
        <n v="-4738.633600000001"/>
        <n v="-4912.450199999992"/>
        <n v="-3374.1781000000046"/>
        <n v="-3399.9327400000038"/>
        <n v="-2117.2915800000046"/>
        <n v="-2082.8575300000011"/>
        <n v="-1930.6688799999974"/>
        <n v="-4843.2625000000116"/>
        <n v="-5393.0693999999785"/>
        <n v="-2674.3229900000006"/>
        <n v="-1972.5489600000001"/>
        <n v="-2744.8636600000027"/>
        <n v="-2540.8621299999941"/>
        <n v="-2623.7351400000043"/>
        <n v="-3380.8852999999945"/>
        <n v="-3853.4324999999953"/>
        <n v="-2474.6917300000059"/>
        <n v="-2697.6478300000017"/>
        <n v="-2351.3442300000024"/>
        <n v="-2150.866399999999"/>
        <n v="-1951.0093100000013"/>
        <n v="-4104.7973300000012"/>
        <n v="-5216.347099999999"/>
        <n v="-3533.1118699999934"/>
        <n v="-3111.1796900000045"/>
        <n v="-1675.9952400000038"/>
        <n v="-869.90278000000035"/>
        <n v="-652.21688999999969"/>
        <n v="-2000.6732899999915"/>
        <n v="-2481.7957000000024"/>
        <n v="-574.11712000000261"/>
        <n v="-342.69749000000593"/>
        <n v="-29292.368499999982"/>
        <n v="-31633.46749999997"/>
        <n v="-24113.580099999992"/>
        <n v="-39144.182199999981"/>
        <n v="-43390.183900000004"/>
        <n v="-17902.50959999999"/>
        <n v="-29410.520900000003"/>
        <n v="-33294.825899999996"/>
        <n v="-28039.91810000001"/>
        <n v="-21792.778900000034"/>
        <n v="-25919.453100000042"/>
        <n v="-27711.569699999993"/>
        <n v="-11928.238200000022"/>
        <n v="-13586.429399999994"/>
        <n v="3647.2997599999944"/>
        <n v="3802.574729999993"/>
        <n v="3090.2444199999954"/>
        <n v="4380.1813200000033"/>
        <n v="3040.8599400000021"/>
        <n v="1716.1082700000006"/>
        <n v="2504.1761800000022"/>
        <n v="2400.8720699999976"/>
        <n v="1589.2551600000006"/>
        <n v="1666.9874799999998"/>
        <n v="3622.6637899999987"/>
        <n v="3784.9899899999946"/>
        <n v="2226.4768900000054"/>
        <n v="2818.0077699999965"/>
        <n v="2792.5661200000031"/>
        <n v="-13401.080600000016"/>
        <n v="-17668.050400000007"/>
        <n v="-45503.115300000005"/>
        <n v="-46306.947000000044"/>
        <n v="-22114.107300000003"/>
        <n v="-25678.6005"/>
        <n v="-19846.885200000019"/>
        <n v="-44886.100600000005"/>
        <n v="-56973.471300000034"/>
        <n v="-54755.790900000022"/>
        <n v="-64449.329800000007"/>
        <n v="-29457.702300000004"/>
        <n v="-42340.275999999954"/>
        <n v="-31672.734100000001"/>
        <n v="2025.5397999999986"/>
        <n v="1873.0680500000017"/>
        <n v="3965.8898999999947"/>
        <n v="3751.3246999999974"/>
        <n v="1795.8258399999977"/>
        <n v="1816.1283599999952"/>
        <n v="1259.7315900000031"/>
        <n v="1326.5678899999984"/>
        <n v="1691.6315699999977"/>
        <n v="3477.3352999999915"/>
        <n v="3503.4061999999976"/>
        <n v="1870.6800100000037"/>
        <n v="1729.3291400000016"/>
        <n v="1318.5299900000027"/>
        <n v="1678.3182400000005"/>
        <n v="1752.4785800000027"/>
        <n v="-6756.0094999999856"/>
        <n v="-9292.6561999999685"/>
        <n v="-4296.8133000000089"/>
        <n v="-4812.9946000000054"/>
        <n v="-5123.7231000000029"/>
        <n v="-15399.087599999999"/>
        <n v="-5301.8555999999953"/>
        <n v="-12545.716399999976"/>
        <n v="-38176.622199999983"/>
        <n v="-13163.396799999988"/>
        <n v="-12360.168999999994"/>
        <n v="-9124.7408999999752"/>
        <n v="-19212.208599999984"/>
        <n v="-4762.4753000000055"/>
        <n v="-9198.0996000000159"/>
        <n v="-26670.915900000022"/>
        <n v="-6099.5745999999926"/>
        <n v="4294.1613599999982"/>
        <n v="-12387.188499999989"/>
        <n v="-13771.659100000019"/>
        <n v="-13243.06289999999"/>
        <n v="-33126.546700000006"/>
        <n v="-35073.090299999982"/>
        <n v="-15943.526100000017"/>
        <n v="-16422.733899999992"/>
        <n v="-14256.615900000004"/>
        <n v="-13931.113800000021"/>
        <n v="-13620.457399999985"/>
        <n v="-27931.156799999997"/>
        <n v="-29201.951500000025"/>
        <n v="-15096.01920000001"/>
        <n v="5335.7947000000131"/>
        <n v="-10435.144899999999"/>
        <n v="-22893.11069999999"/>
        <n v="-43900.690600000031"/>
        <n v="-55449.673300000024"/>
        <n v="-64255.959600000002"/>
        <n v="-35455.761599999969"/>
        <n v="-23327.483700000012"/>
        <n v="-23443.776799999992"/>
        <n v="-21369.909100000019"/>
        <n v="-18061.56269999998"/>
        <n v="-27758.769000000029"/>
        <n v="-31857.164400000009"/>
        <n v="-15035.9951"/>
        <n v="6442.0121199999994"/>
        <n v="-3991.3791999999958"/>
        <n v="-4157.6510999999882"/>
        <n v="-4542.1823999999906"/>
        <n v="-7999.760099999985"/>
        <n v="-26132.277000000002"/>
        <n v="-5967.515699999989"/>
        <n v="-6037.9200999999885"/>
        <n v="-16851.621899999998"/>
        <n v="-17025.837700000004"/>
        <n v="-17216.21709999998"/>
        <n v="-22291.537499999977"/>
        <n v="-24716.372499999998"/>
        <n v="-12109.189799999993"/>
        <n v="-23541.591200000024"/>
        <n v="-25174.285299999989"/>
        <n v="18746.17750000002"/>
        <n v="27831.94379999995"/>
        <n v="9365.4264000000112"/>
        <n v="5901.951350000003"/>
        <n v="4906.7603200000012"/>
        <n v="9520.4850000000006"/>
        <n v="-14110.625300000014"/>
        <n v="-18477.044699999999"/>
        <n v="-28472.21339999995"/>
        <n v="-9798.044000000009"/>
        <n v="-23254.563800000004"/>
        <n v="-14781.410599999974"/>
        <n v="-24586.094900000026"/>
        <n v="-18904.242899999983"/>
        <n v="7036.4226999999955"/>
        <n v="5412.3540299999877"/>
        <n v="7570.6600799999869"/>
        <n v="9666.1926999999996"/>
        <n v="6474.3648200000025"/>
        <n v="8822.6358999999939"/>
        <n v="7219.0390000000043"/>
        <n v="4827.1900999999998"/>
        <n v="4494.4959200000012"/>
        <n v="10762.034000000014"/>
        <n v="13710.066300000006"/>
        <n v="6577.2712299999985"/>
        <n v="6985.6947899999941"/>
        <n v="5059.6181099999958"/>
        <n v="-22760.648699999991"/>
        <n v="5152.0108599999949"/>
        <n v="-27373.688399999985"/>
        <n v="-30820.842199999955"/>
        <n v="-14366.791499999992"/>
        <n v="-19450.560700000002"/>
        <n v="-16733.681699999986"/>
        <n v="-17277.984299999982"/>
        <n v="-14871.87460000001"/>
        <n v="-39214.600299999991"/>
        <n v="-49269.102499999979"/>
        <n v="-20558.12519999998"/>
        <n v="-32172.849999999977"/>
        <n v="-17529.2598"/>
        <n v="-16232.972999999998"/>
        <n v="-11594.15849999999"/>
        <n v="-19538.802599999995"/>
        <n v="-22322.456600000034"/>
        <n v="-10459.140500000009"/>
        <n v="-12883.467499999999"/>
        <n v="9812.8998500000016"/>
        <n v="10281.686430000002"/>
        <n v="8543.6019299999971"/>
        <n v="19256.482799999998"/>
        <n v="22002.524199999985"/>
        <n v="11613.158360000001"/>
        <n v="14776.156199999998"/>
        <n v="9075.4430299999949"/>
        <n v="-8558.5010000000184"/>
        <n v="8105.1028400000068"/>
        <n v="17829.243900000001"/>
        <n v="-20230.925000000047"/>
        <n v="10501.801460000002"/>
        <n v="9263.7590700000001"/>
        <n v="5541.0763000000006"/>
        <n v="-207.44405999999435"/>
        <n v="-1649.9641999999876"/>
        <n v="5633.0136999999813"/>
        <n v="5918.7197999999917"/>
        <n v="5057.1486999999906"/>
        <n v="2746.7885999999999"/>
        <n v="-2133.6628999999957"/>
        <n v="-3232.5057000000088"/>
        <n v="-2242.8819999999978"/>
        <n v="-1911.7716000000073"/>
        <n v="-1253.1040999999968"/>
        <n v="-199.49245999999403"/>
        <n v="-4024.5001200000115"/>
        <n v="-1814.7878100000016"/>
        <n v="2422.2644599999985"/>
        <n v="2344.8060699999987"/>
        <n v="4945.3694700000051"/>
        <n v="4789.4662800000078"/>
        <n v="2192.7579800000021"/>
        <n v="2678.467859999997"/>
        <n v="3226.2757700000002"/>
        <n v="2397.8472600000023"/>
        <n v="2055.6665900000007"/>
        <n v="4530.0725099999981"/>
        <n v="5399.8364800000127"/>
        <n v="3220.2775799999945"/>
        <n v="2850.158319999995"/>
        <n v="3881.8419599999979"/>
        <n v="3397.2241200000135"/>
        <n v="3161.0490999999747"/>
        <n v="5916.0475999999908"/>
        <n v="1494.676999999996"/>
        <n v="678.26229999999487"/>
        <n v="582.95100000000093"/>
        <n v="241.19641000000411"/>
        <n v="-4118.6804500000071"/>
        <n v="-7420.6146000000008"/>
        <n v="-12948.432000000001"/>
        <n v="-9611.7306000000099"/>
        <n v="-4826.5857600000018"/>
        <n v="937.83070000000589"/>
        <n v="1941.3620699999883"/>
        <n v="4021.9000000000015"/>
        <n v="-15976.7065"/>
        <n v="-27291.685999999987"/>
        <n v="-25403.118599999987"/>
        <n v="-8919.8764000000083"/>
        <n v="-10852.215700000001"/>
        <n v="-9535.4707999999955"/>
        <n v="-8458.0104999999894"/>
        <n v="-10058.816699999996"/>
        <n v="-19158.282799999986"/>
        <n v="-17986.366699999955"/>
        <n v="-10358.12579999998"/>
        <n v="-8670.9707000000053"/>
        <n v="-6830.3441000000021"/>
        <n v="-12625.096700000024"/>
        <n v="-14688.744100000011"/>
        <n v="-28952.139399999985"/>
        <n v="-34676.527500000026"/>
        <n v="-16225.027899999986"/>
        <n v="-21805.568900000013"/>
        <n v="-22148.021300000022"/>
        <n v="-24496.183700000052"/>
        <n v="-19527.576799999981"/>
        <n v="-33660.731499999994"/>
        <n v="-42060.464599999948"/>
        <n v="-25655.114300000016"/>
        <n v="-21713.270499999984"/>
        <n v="-22285.685500000021"/>
        <n v="-19538.51039999997"/>
        <n v="-16580.782800000015"/>
        <n v="-23509.527000000002"/>
        <n v="-26457.022100000002"/>
        <n v="-9552.1063999999897"/>
        <n v="8658.5641400000022"/>
        <n v="5610.5394000000015"/>
        <n v="4620.6593600000015"/>
        <n v="3640.2474700000021"/>
        <n v="10761.374110000004"/>
        <n v="11058.436650000003"/>
        <n v="6885.2976599999965"/>
        <n v="5732.5246100000004"/>
        <n v="5214.2786699999997"/>
        <n v="4522.419420000002"/>
        <n v="5174.0266400000037"/>
        <n v="12904.898919999992"/>
        <n v="13200.881210000007"/>
        <n v="8192.4467700000023"/>
        <n v="9215.1186599999928"/>
        <n v="-4301.8338999999978"/>
        <n v="-15288.268199999991"/>
        <n v="-12983.792699999991"/>
        <n v="-22412.472100000014"/>
        <n v="-24193.732400000037"/>
        <n v="-12749.13890000002"/>
        <n v="-10917.872100000008"/>
        <n v="-15415.36129999996"/>
        <n v="-23134.087"/>
        <n v="-17476.854999999981"/>
        <n v="-22364.816699999967"/>
        <n v="-24408.879299999971"/>
        <n v="-12688.728900000016"/>
        <n v="-11002.804100000008"/>
        <n v="9531.159010000003"/>
        <n v="-10368.8315"/>
        <n v="-5038.9505000000063"/>
        <n v="-9044.1196000000054"/>
        <n v="-17935.668000000005"/>
        <n v="-4996.5528000000049"/>
        <n v="-4883.2908999999927"/>
        <n v="-4004.4974000000075"/>
        <n v="-13904.179800000013"/>
        <n v="-7177.3475999999791"/>
        <n v="-11909.061300000001"/>
        <n v="-19029.064299999969"/>
        <n v="-4913.4696000000113"/>
        <n v="-5144.1902999999875"/>
        <n v="-4280.8582000000024"/>
        <n v="5508.0666900000069"/>
        <n v="-11906.796899999987"/>
        <n v="-32468.572999999975"/>
        <n v="-37629.543400000024"/>
        <n v="-18870.925499999983"/>
        <n v="-20723.857299999974"/>
        <n v="-16488.503499999992"/>
        <n v="-17322.997499999998"/>
        <n v="-23136.468700000027"/>
        <n v="-38732.035900000017"/>
        <n v="-35943.738799999992"/>
        <n v="-19349.731300000014"/>
        <n v="-22520.791399999987"/>
        <n v="-17663.130399999995"/>
        <n v="-15717.312799999985"/>
        <n v="9980.1506599999921"/>
        <n v="12530.21961"/>
        <n v="11333.052810000008"/>
        <n v="5717.9894300000014"/>
        <n v="6608.0434000000023"/>
        <n v="5277.4382799999985"/>
        <n v="4736.5890699999982"/>
        <n v="4369.5947400000005"/>
        <n v="11557.543119999988"/>
        <n v="13641.480899999995"/>
        <n v="6514.2456299999976"/>
        <n v="7381.3339300000007"/>
        <n v="5433.3230600000024"/>
        <n v="6116.1338000000032"/>
        <n v="5036.5971699999973"/>
        <n v="8763.7575299999953"/>
        <n v="11057.869760000001"/>
        <n v="5862.2422700000025"/>
        <n v="6198.2288399999961"/>
        <n v="6290.3350100000025"/>
        <n v="9584.5829000000012"/>
        <n v="7363.3124099999986"/>
        <n v="13161.939759999994"/>
        <n v="13469.306649999999"/>
        <n v="8369.5889900000038"/>
        <n v="9187.9096400000053"/>
        <n v="10011.700719999993"/>
        <n v="6831.3875399999961"/>
        <n v="6508.0112499999959"/>
        <n v="10066.650700000006"/>
        <n v="10008.323299999996"/>
        <n v="4193.6378299999997"/>
        <n v="5236.4798799999953"/>
        <n v="4254.6151800000007"/>
        <n v="-8324.1739999999991"/>
        <n v="-3959.3717800000013"/>
        <n v="-9714.413899999985"/>
        <n v="-15387.379200000025"/>
        <n v="-6517.4881000000023"/>
        <n v="-5852.6457999999984"/>
        <n v="-5049.1157000000094"/>
        <n v="-5979.4360000000015"/>
        <n v="-5363.847099999999"/>
        <n v="-11228.663300000015"/>
        <n v="-12163.927599999995"/>
        <n v="-7253.9781000000075"/>
        <n v="-5980.3588000000163"/>
        <n v="5888.3406299999988"/>
        <n v="-7292.0026000000071"/>
        <n v="-14054.142399999982"/>
        <n v="-20872.072199999995"/>
        <n v="-21686.024399999995"/>
        <n v="-9507.6440000000002"/>
        <n v="-9853.3652000000002"/>
        <n v="-8337.9507999999914"/>
        <n v="-14267.296999999991"/>
        <n v="-19539.140599999984"/>
        <n v="-22138.081000000006"/>
        <n v="-22751.445999999996"/>
        <n v="-13137.709199999983"/>
        <n v="-14412.270400000009"/>
        <n v="-9614.0443999999843"/>
        <n v="6906.2773200000011"/>
        <n v="5900.4683499999956"/>
        <n v="7723.7919000000111"/>
        <n v="8478.3819700000022"/>
        <n v="4817.4340899999952"/>
        <n v="5191.0146700000041"/>
        <n v="3026.1381299999994"/>
        <n v="2120.0604200000016"/>
        <n v="4277.4118699999963"/>
        <n v="7319.6463099999964"/>
        <n v="10548.303480000002"/>
        <n v="5231.3001599999989"/>
        <n v="4906.0216199999995"/>
        <n v="3892.6163699999961"/>
        <n v="5252.6001000000033"/>
        <n v="4320.3496900000027"/>
        <n v="15539.05740000002"/>
        <n v="16141.020599999989"/>
        <n v="7698.7934200000018"/>
        <n v="7176.0403300000035"/>
        <n v="6129.0103200000012"/>
        <n v="1628.2245200000034"/>
        <n v="1832.00576"/>
        <n v="4881.9371000000101"/>
        <n v="7072.2527000000118"/>
        <n v="5233.5152999999991"/>
        <n v="16252.536399999997"/>
        <n v="11129.153689999992"/>
        <n v="9186.1657899999991"/>
        <n v="8303.1686000000045"/>
        <n v="10302.253450000004"/>
        <n v="10844.077420000001"/>
        <n v="6144.1491499999975"/>
        <n v="5951.2058899999975"/>
        <n v="4228.6464199999973"/>
        <n v="3205.7173000000003"/>
        <n v="2630.1193800000001"/>
        <n v="7370.1776199999949"/>
        <n v="8787.2127699999983"/>
        <n v="4594.9932400000034"/>
        <n v="5420.0039000000033"/>
        <n v="3662.4797299999991"/>
        <n v="3993.9880199999971"/>
        <n v="3610.0688299999965"/>
        <n v="9210.2678400000004"/>
        <n v="9732.5776900000055"/>
        <n v="4747.964230000005"/>
        <n v="3783.8747900000017"/>
        <n v="6950.2308900000062"/>
        <n v="6400.8664100000024"/>
        <n v="5473.2773000000016"/>
        <n v="9948.6274700000067"/>
        <n v="11800.309499999988"/>
        <n v="6287.3186200000055"/>
        <n v="7704.4446699999971"/>
        <n v="16255.427299999996"/>
        <n v="11354.37185000001"/>
        <n v="7625.5938999999926"/>
        <n v="11673.675199999998"/>
        <n v="12622.728299999988"/>
        <n v="6208.8323000000091"/>
        <n v="6557.8945999999996"/>
        <n v="5787.4507099999901"/>
        <n v="4568.0281000000105"/>
        <n v="3977.9116700000013"/>
        <n v="8383.1842999999935"/>
        <n v="8735.6951000000117"/>
        <n v="4834.1741400000028"/>
        <n v="4765.9846499999985"/>
        <n v="7404.9304499999998"/>
        <n v="5801.1018900000054"/>
        <m/>
      </sharedItems>
    </cacheField>
    <cacheField name="Gross Profit Percent" numFmtId="0">
      <sharedItems containsString="0" containsBlank="1" containsNumber="1" minValue="-0.14857562030558358" maxValue="0.14415691833706257"/>
    </cacheField>
    <cacheField name="Gross Proit on unit" numFmtId="0">
      <sharedItems containsString="0" containsBlank="1" containsNumber="1" minValue="-4.966488527805005" maxValue="6.0882682228490808"/>
    </cacheField>
    <cacheField name="Unit Cost" numFmtId="0">
      <sharedItems containsString="0" containsBlank="1" containsNumber="1" minValue="32.758257233317096" maxValue="42.066406614349773"/>
    </cacheField>
    <cacheField name="On Promotion" numFmtId="0">
      <sharedItems containsBlank="1" containsMixedTypes="1" containsNumber="1" containsInteger="1" minValue="607" maxValue="607" count="4">
        <b v="0"/>
        <b v="1"/>
        <n v="607"/>
        <m/>
      </sharedItems>
    </cacheField>
    <cacheField name="QTY SOLD" numFmtId="0">
      <sharedItems containsString="0" containsBlank="1" containsNumber="1" containsInteger="1" minValue="508" maxValue="26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x v="0"/>
    <n v="223937.96789999999"/>
    <n v="230079.62100000001"/>
    <x v="0"/>
    <n v="32.801811615643764"/>
    <x v="0"/>
    <n v="-2.7425689165593369E-2"/>
    <n v="-0.8996122894389984"/>
    <n v="33.701423905082763"/>
    <x v="0"/>
    <n v="6827"/>
  </r>
  <r>
    <x v="1"/>
    <n v="300345.48460000003"/>
    <n v="306986.12050000002"/>
    <x v="1"/>
    <n v="32.40672039274925"/>
    <x v="1"/>
    <n v="-2.2109990795579928E-2"/>
    <n v="-0.71651228959861868"/>
    <n v="33.123232682347869"/>
    <x v="0"/>
    <n v="9268"/>
  </r>
  <r>
    <x v="2"/>
    <n v="86782.467730000004"/>
    <n v="87986.318209999998"/>
    <x v="2"/>
    <n v="32.405701168782677"/>
    <x v="2"/>
    <n v="-1.3872047102249343E-2"/>
    <n v="-0.4495334129947679"/>
    <n v="32.855234581777445"/>
    <x v="0"/>
    <n v="2678"/>
  </r>
  <r>
    <x v="3"/>
    <n v="200173.11679999999"/>
    <n v="202881.1777"/>
    <x v="3"/>
    <n v="32.416699076923074"/>
    <x v="3"/>
    <n v="-1.3528594365175072E-2"/>
    <n v="-0.43855237246963696"/>
    <n v="32.855251449392711"/>
    <x v="0"/>
    <n v="6175"/>
  </r>
  <r>
    <x v="4"/>
    <n v="326906.07419999997"/>
    <n v="333806.29190000001"/>
    <x v="4"/>
    <n v="32.418293752479173"/>
    <x v="4"/>
    <n v="-2.1107646032231597E-2"/>
    <n v="-0.68427386949623781"/>
    <n v="33.10256762197541"/>
    <x v="0"/>
    <n v="10084"/>
  </r>
  <r>
    <x v="5"/>
    <n v="307043.93540000002"/>
    <n v="313652.34830000001"/>
    <x v="5"/>
    <n v="32.422802048574447"/>
    <x v="5"/>
    <n v="-2.152269476155234E-2"/>
    <n v="-0.69782607180570011"/>
    <n v="33.120628120380147"/>
    <x v="0"/>
    <n v="9470"/>
  </r>
  <r>
    <x v="6"/>
    <n v="179188.88449999999"/>
    <n v="183083.285"/>
    <x v="6"/>
    <n v="32.438248461259953"/>
    <x v="6"/>
    <n v="-2.1733493742464915E-2"/>
    <n v="-0.70499646994931453"/>
    <n v="33.143244931209267"/>
    <x v="0"/>
    <n v="5524"/>
  </r>
  <r>
    <x v="7"/>
    <n v="306351.9509"/>
    <n v="313446.06809999997"/>
    <x v="7"/>
    <n v="32.42505830863675"/>
    <x v="7"/>
    <n v="-2.3156755421856787E-2"/>
    <n v="-0.75085914479254257"/>
    <n v="33.175917453429292"/>
    <x v="0"/>
    <n v="9448"/>
  </r>
  <r>
    <x v="8"/>
    <n v="224020.41"/>
    <n v="229533.9737"/>
    <x v="8"/>
    <n v="32.415049920416728"/>
    <x v="8"/>
    <n v="-2.4611881122795904E-2"/>
    <n v="-0.79779535523078948"/>
    <n v="33.212845275647517"/>
    <x v="0"/>
    <n v="6911"/>
  </r>
  <r>
    <x v="9"/>
    <n v="101836.4022"/>
    <n v="99381.967520000006"/>
    <x v="9"/>
    <n v="34.058997391304345"/>
    <x v="9"/>
    <n v="2.4101741881843417E-2"/>
    <n v="0.82088116387959076"/>
    <n v="33.238116227424754"/>
    <x v="1"/>
    <n v="2990"/>
  </r>
  <r>
    <x v="10"/>
    <n v="107804.3049"/>
    <n v="104816.45849999999"/>
    <x v="10"/>
    <n v="34.126085754985759"/>
    <x v="10"/>
    <n v="2.7715464635401674E-2"/>
    <n v="0.9458203228869948"/>
    <n v="33.180265432098764"/>
    <x v="1"/>
    <n v="3159"/>
  </r>
  <r>
    <x v="11"/>
    <n v="144829.95670000001"/>
    <n v="141333.9963"/>
    <x v="11"/>
    <n v="34.10974015544042"/>
    <x v="11"/>
    <n v="2.4138379100958542E-2"/>
    <n v="0.82335383890720948"/>
    <n v="33.286386316533211"/>
    <x v="1"/>
    <n v="4246"/>
  </r>
  <r>
    <x v="12"/>
    <n v="146571.48240000001"/>
    <n v="143179.67000000001"/>
    <x v="12"/>
    <n v="34.110189062136378"/>
    <x v="12"/>
    <n v="2.3141011774334044E-2"/>
    <n v="0.78934428671166046"/>
    <n v="33.320844775424717"/>
    <x v="1"/>
    <n v="4297"/>
  </r>
  <r>
    <x v="13"/>
    <n v="95422.37298"/>
    <n v="93126.147240000006"/>
    <x v="13"/>
    <n v="34.12817345493562"/>
    <x v="13"/>
    <n v="2.4063808814325658E-2"/>
    <n v="0.82125384120170963"/>
    <n v="33.306919613733911"/>
    <x v="1"/>
    <n v="2796"/>
  </r>
  <r>
    <x v="14"/>
    <n v="114883.1738"/>
    <n v="112186.30869999999"/>
    <x v="14"/>
    <n v="34.100081270406648"/>
    <x v="14"/>
    <n v="2.3474848498658121E-2"/>
    <n v="0.8004942416147216"/>
    <n v="33.299587028791926"/>
    <x v="1"/>
    <n v="3369"/>
  </r>
  <r>
    <x v="15"/>
    <n v="80090.800080000001"/>
    <n v="78096.760179999997"/>
    <x v="15"/>
    <n v="34.11022149914821"/>
    <x v="15"/>
    <n v="2.4897240357297269E-2"/>
    <n v="0.84925038330494118"/>
    <n v="33.260971115843269"/>
    <x v="1"/>
    <n v="2348"/>
  </r>
  <r>
    <x v="16"/>
    <n v="98945.371159999995"/>
    <n v="97159.002590000004"/>
    <x v="16"/>
    <n v="34.083834364450567"/>
    <x v="16"/>
    <n v="1.8054089332904085E-2"/>
    <n v="0.61535259042369717"/>
    <n v="33.46848177402687"/>
    <x v="1"/>
    <n v="2903"/>
  </r>
  <r>
    <x v="17"/>
    <n v="84904.901710000006"/>
    <n v="83350.43316"/>
    <x v="17"/>
    <n v="34.084665479727022"/>
    <x v="17"/>
    <n v="1.8308348737148605E-2"/>
    <n v="0.62403394219189323"/>
    <n v="33.460631537535129"/>
    <x v="1"/>
    <n v="2491"/>
  </r>
  <r>
    <x v="18"/>
    <n v="135460.61970000001"/>
    <n v="132703.33540000001"/>
    <x v="18"/>
    <n v="34.138261013104838"/>
    <x v="18"/>
    <n v="2.0354877351856669E-2"/>
    <n v="0.69488011592741827"/>
    <n v="33.44338089717742"/>
    <x v="1"/>
    <n v="3968"/>
  </r>
  <r>
    <x v="19"/>
    <n v="149925.74969999999"/>
    <n v="146928.4118"/>
    <x v="19"/>
    <n v="34.128329091736852"/>
    <x v="19"/>
    <n v="1.9992148820316916E-2"/>
    <n v="0.68229863419075798"/>
    <n v="33.446030457546094"/>
    <x v="1"/>
    <n v="4393"/>
  </r>
  <r>
    <x v="20"/>
    <n v="74297.307180000003"/>
    <n v="72782.284320000006"/>
    <x v="20"/>
    <n v="34.143983079044119"/>
    <x v="20"/>
    <n v="2.0391356261803044E-2"/>
    <n v="0.69624212316176681"/>
    <n v="33.447740955882352"/>
    <x v="1"/>
    <n v="2176"/>
  </r>
  <r>
    <x v="21"/>
    <n v="83356.424559999999"/>
    <n v="81789.136119999996"/>
    <x v="21"/>
    <n v="34.12051762586983"/>
    <x v="21"/>
    <n v="1.8802251275447508E-2"/>
    <n v="0.64154254604994065"/>
    <n v="33.47897507981989"/>
    <x v="1"/>
    <n v="2443"/>
  </r>
  <r>
    <x v="22"/>
    <n v="89922.014290000006"/>
    <n v="88388.916070000007"/>
    <x v="22"/>
    <n v="34.087192680060653"/>
    <x v="22"/>
    <n v="1.7049197931173255E-2"/>
    <n v="0.58115929492038987"/>
    <n v="33.506033385140263"/>
    <x v="1"/>
    <n v="2638"/>
  </r>
  <r>
    <x v="23"/>
    <n v="57806.302779999998"/>
    <n v="57157.28254"/>
    <x v="23"/>
    <n v="33.923886607981217"/>
    <x v="23"/>
    <n v="1.1227499576820333E-2"/>
    <n v="0.38088042253520626"/>
    <n v="33.543006185446011"/>
    <x v="1"/>
    <n v="1704"/>
  </r>
  <r>
    <x v="24"/>
    <n v="63977.750350000002"/>
    <n v="62863.987240000002"/>
    <x v="24"/>
    <n v="34.17614869123932"/>
    <x v="24"/>
    <n v="1.7408600707386389E-2"/>
    <n v="0.59495892628205382"/>
    <n v="33.581189764957266"/>
    <x v="1"/>
    <n v="1872"/>
  </r>
  <r>
    <x v="25"/>
    <n v="116958.79979999999"/>
    <n v="114823.79519999999"/>
    <x v="25"/>
    <n v="34.168507099035935"/>
    <x v="25"/>
    <n v="1.8254330616002099E-2"/>
    <n v="0.62372322524102231"/>
    <n v="33.544783873794913"/>
    <x v="1"/>
    <n v="3423"/>
  </r>
  <r>
    <x v="26"/>
    <n v="155272.8248"/>
    <n v="152636.27660000001"/>
    <x v="26"/>
    <n v="34.17095616197183"/>
    <x v="26"/>
    <n v="1.6980100693060812E-2"/>
    <n v="0.58022627640844604"/>
    <n v="33.590729885563384"/>
    <x v="1"/>
    <n v="4544"/>
  </r>
  <r>
    <x v="27"/>
    <n v="82885.215909999999"/>
    <n v="81583.166949999999"/>
    <x v="27"/>
    <n v="34.165381661170649"/>
    <x v="27"/>
    <n v="1.5709061570326553E-2"/>
    <n v="0.5367060840890332"/>
    <n v="33.628675577081616"/>
    <x v="1"/>
    <n v="2426"/>
  </r>
  <r>
    <x v="28"/>
    <n v="72353.425879999995"/>
    <n v="71377.156459999998"/>
    <x v="28"/>
    <n v="34.177338630136987"/>
    <x v="28"/>
    <n v="1.3493064193244487E-2"/>
    <n v="0.4611570240906957"/>
    <n v="33.716181606046291"/>
    <x v="1"/>
    <n v="2117"/>
  </r>
  <r>
    <x v="29"/>
    <n v="50415.903760000001"/>
    <n v="49769.098239999999"/>
    <x v="29"/>
    <n v="34.157116368563685"/>
    <x v="29"/>
    <n v="1.2829394531516412E-2"/>
    <n v="0.4382151219512167"/>
    <n v="33.718901246612468"/>
    <x v="1"/>
    <n v="1476"/>
  </r>
  <r>
    <x v="30"/>
    <n v="67458.301890000002"/>
    <n v="66529.441999999995"/>
    <x v="30"/>
    <n v="34.173405212765957"/>
    <x v="30"/>
    <n v="1.3769393298909898E-2"/>
    <n v="0.4705470567375869"/>
    <n v="33.70285815602837"/>
    <x v="1"/>
    <n v="1974"/>
  </r>
  <r>
    <x v="31"/>
    <n v="64640.369310000002"/>
    <n v="63757.839870000003"/>
    <x v="31"/>
    <n v="34.165100058139537"/>
    <x v="31"/>
    <n v="1.3652914570577325E-2"/>
    <n v="0.46645319238900385"/>
    <n v="33.698646865750533"/>
    <x v="1"/>
    <n v="1892"/>
  </r>
  <r>
    <x v="32"/>
    <n v="137693.87349999999"/>
    <n v="135609.50760000001"/>
    <x v="32"/>
    <n v="34.167214267990069"/>
    <x v="32"/>
    <n v="1.5137680762535709E-2"/>
    <n v="0.51721238213398379"/>
    <n v="33.650001885856085"/>
    <x v="1"/>
    <n v="4030"/>
  </r>
  <r>
    <x v="33"/>
    <n v="181209.12849999999"/>
    <n v="178435.71530000001"/>
    <x v="33"/>
    <n v="34.164616987179485"/>
    <x v="33"/>
    <n v="1.5305041324118399E-2"/>
    <n v="0.52289087481145913"/>
    <n v="33.641726112368026"/>
    <x v="1"/>
    <n v="5304"/>
  </r>
  <r>
    <x v="34"/>
    <n v="113433.58100000001"/>
    <n v="111466.5168"/>
    <x v="34"/>
    <n v="34.166741265060246"/>
    <x v="34"/>
    <n v="1.7341109948737384E-2"/>
    <n v="0.59248921686747735"/>
    <n v="33.574252048192768"/>
    <x v="1"/>
    <n v="3320"/>
  </r>
  <r>
    <x v="35"/>
    <n v="143192.53339999999"/>
    <n v="140505.6347"/>
    <x v="35"/>
    <n v="34.166674636125023"/>
    <x v="35"/>
    <n v="1.8764237465471022E-2"/>
    <n v="0.64111159627773162"/>
    <n v="33.525563039847292"/>
    <x v="1"/>
    <n v="4191"/>
  </r>
  <r>
    <x v="36"/>
    <n v="130126.6499"/>
    <n v="128496.2877"/>
    <x v="36"/>
    <n v="34.16294300341297"/>
    <x v="36"/>
    <n v="1.2529041524183611E-2"/>
    <n v="0.42802893147808163"/>
    <n v="33.734914071934888"/>
    <x v="1"/>
    <n v="3809"/>
  </r>
  <r>
    <x v="37"/>
    <n v="187155.86850000001"/>
    <n v="195078.60329999999"/>
    <x v="37"/>
    <n v="32.469789816099933"/>
    <x v="37"/>
    <n v="-4.2332280913755987E-2"/>
    <n v="-1.3745202637057545"/>
    <n v="33.844310079805688"/>
    <x v="0"/>
    <n v="5764"/>
  </r>
  <r>
    <x v="38"/>
    <n v="102314.7096"/>
    <n v="101977.99"/>
    <x v="38"/>
    <n v="33.789534214002643"/>
    <x v="38"/>
    <n v="3.2910184793213419E-3"/>
    <n v="0.11120198150594263"/>
    <n v="33.6783322324967"/>
    <x v="1"/>
    <n v="3028"/>
  </r>
  <r>
    <x v="39"/>
    <n v="301553.84259999997"/>
    <n v="313529.18770000001"/>
    <x v="39"/>
    <n v="32.481025700129251"/>
    <x v="39"/>
    <n v="-3.9712129007372282E-2"/>
    <n v="-1.2898906828953116"/>
    <n v="33.770916383024563"/>
    <x v="0"/>
    <n v="9284"/>
  </r>
  <r>
    <x v="40"/>
    <n v="316073.17749999999"/>
    <n v="329754.7795"/>
    <x v="40"/>
    <n v="32.461043185786174"/>
    <x v="40"/>
    <n v="-4.328618488988998E-2"/>
    <n v="-1.4051147170586447"/>
    <n v="33.866157902844819"/>
    <x v="0"/>
    <n v="9737"/>
  </r>
  <r>
    <x v="41"/>
    <n v="135178.04259999999"/>
    <n v="141530.70869999999"/>
    <x v="41"/>
    <n v="32.471304972375684"/>
    <x v="41"/>
    <n v="-4.6994807572394916E-2"/>
    <n v="-1.5259827288013526"/>
    <n v="33.997287701177036"/>
    <x v="0"/>
    <n v="4163"/>
  </r>
  <r>
    <x v="42"/>
    <n v="147727.51620000001"/>
    <n v="154828.68460000001"/>
    <x v="42"/>
    <n v="32.453320782073817"/>
    <x v="42"/>
    <n v="-4.8069368406533829E-2"/>
    <n v="-1.5600106326889289"/>
    <n v="34.013331414762746"/>
    <x v="0"/>
    <n v="4552"/>
  </r>
  <r>
    <x v="43"/>
    <n v="135498.7464"/>
    <n v="139824.16159999999"/>
    <x v="43"/>
    <n v="32.478127133269417"/>
    <x v="43"/>
    <n v="-3.1922178727994403E-2"/>
    <n v="-1.0367725790987521"/>
    <n v="33.51489971236817"/>
    <x v="0"/>
    <n v="4172"/>
  </r>
  <r>
    <x v="44"/>
    <n v="163432.84520000001"/>
    <n v="166893.3689"/>
    <x v="44"/>
    <n v="32.446465197538217"/>
    <x v="44"/>
    <n v="-2.117397941500189E-2"/>
    <n v="-0.68702078618225215"/>
    <n v="33.133485983720469"/>
    <x v="0"/>
    <n v="5037"/>
  </r>
  <r>
    <x v="45"/>
    <n v="138291.63329999999"/>
    <n v="141027.4345"/>
    <x v="45"/>
    <n v="32.470446888941062"/>
    <x v="45"/>
    <n v="-1.978283960292207E-2"/>
    <n v="-0.64235764263911932"/>
    <n v="33.112804531580181"/>
    <x v="0"/>
    <n v="4259"/>
  </r>
  <r>
    <x v="46"/>
    <n v="336901.37170000002"/>
    <n v="343519.87550000002"/>
    <x v="46"/>
    <n v="32.453652991041331"/>
    <x v="46"/>
    <n v="-1.9645226632955277E-2"/>
    <n v="-0.63755936807628899"/>
    <n v="33.09121235911762"/>
    <x v="0"/>
    <n v="10381"/>
  </r>
  <r>
    <x v="47"/>
    <n v="367729.26819999999"/>
    <n v="373973.59330000001"/>
    <x v="47"/>
    <n v="32.450517843275676"/>
    <x v="47"/>
    <n v="-1.6980767211066439E-2"/>
    <n v="-0.55103468937522138"/>
    <n v="33.001552532650898"/>
    <x v="0"/>
    <n v="11332"/>
  </r>
  <r>
    <x v="48"/>
    <n v="133913.8414"/>
    <n v="136797.07740000001"/>
    <x v="48"/>
    <n v="32.448229076811245"/>
    <x v="48"/>
    <n v="-2.1530530151754757E-2"/>
    <n v="-0.69862757450933088"/>
    <n v="33.146856651320576"/>
    <x v="0"/>
    <n v="4127"/>
  </r>
  <r>
    <x v="49"/>
    <n v="150800.34700000001"/>
    <n v="152887.10639999999"/>
    <x v="49"/>
    <n v="32.437157883415793"/>
    <x v="49"/>
    <n v="-1.3837895213861681E-2"/>
    <n v="-0.4488619918261918"/>
    <n v="32.886019875241985"/>
    <x v="0"/>
    <n v="4649"/>
  </r>
  <r>
    <x v="50"/>
    <n v="55591.930339999999"/>
    <n v="53463.244209999997"/>
    <x v="50"/>
    <n v="34.168365298094649"/>
    <x v="50"/>
    <n v="3.8291279273465893E-2"/>
    <n v="1.308350417947139"/>
    <n v="32.86001488014751"/>
    <x v="1"/>
    <n v="1627"/>
  </r>
  <r>
    <x v="51"/>
    <n v="106427.1918"/>
    <n v="107736.44409999999"/>
    <x v="51"/>
    <n v="32.43742511429442"/>
    <x v="51"/>
    <n v="-1.230185893150657E-2"/>
    <n v="-0.39904062785736016"/>
    <n v="32.83646574215178"/>
    <x v="0"/>
    <n v="3281"/>
  </r>
  <r>
    <x v="52"/>
    <n v="78940.55442"/>
    <n v="75934.394820000001"/>
    <x v="52"/>
    <n v="34.173400181818181"/>
    <x v="52"/>
    <n v="3.8081308423625324E-2"/>
    <n v="1.3013677922077918"/>
    <n v="32.872032389610389"/>
    <x v="1"/>
    <n v="2310"/>
  </r>
  <r>
    <x v="53"/>
    <n v="317916.31790000002"/>
    <n v="322089.78899999999"/>
    <x v="53"/>
    <n v="32.433821454805141"/>
    <x v="53"/>
    <n v="-1.3127577494505091E-2"/>
    <n v="-0.42577750459089714"/>
    <n v="32.859598959396038"/>
    <x v="0"/>
    <n v="9802"/>
  </r>
  <r>
    <x v="54"/>
    <n v="309217.87560000003"/>
    <n v="320116.92430000001"/>
    <x v="54"/>
    <n v="31.643253745395008"/>
    <x v="54"/>
    <n v="-3.5247149534455902E-2"/>
    <n v="-1.1153344965206742"/>
    <n v="32.758588241915682"/>
    <x v="0"/>
    <n v="9772"/>
  </r>
  <r>
    <x v="55"/>
    <n v="138491.54999999999"/>
    <n v="140752.60159999999"/>
    <x v="55"/>
    <n v="32.433618266978918"/>
    <x v="55"/>
    <n v="-1.6326278390270066E-2"/>
    <n v="-0.52952028103045023"/>
    <n v="32.963138548009368"/>
    <x v="0"/>
    <n v="4270"/>
  </r>
  <r>
    <x v="56"/>
    <n v="133146.22219999999"/>
    <n v="134505.40419999999"/>
    <x v="56"/>
    <n v="32.427233852898198"/>
    <x v="56"/>
    <n v="-1.0208190495697E-2"/>
    <n v="-0.33102338041889823"/>
    <n v="32.758257233317096"/>
    <x v="0"/>
    <n v="4106"/>
  </r>
  <r>
    <x v="57"/>
    <n v="224994.6562"/>
    <n v="227546.4466"/>
    <x v="57"/>
    <n v="32.433999740521841"/>
    <x v="57"/>
    <n v="-1.1341560031237747E-2"/>
    <n v="-0.36785215511027758"/>
    <n v="32.801851895632119"/>
    <x v="0"/>
    <n v="6937"/>
  </r>
  <r>
    <x v="58"/>
    <n v="225051.59150000001"/>
    <n v="228214.1421"/>
    <x v="58"/>
    <n v="32.456243366022498"/>
    <x v="58"/>
    <n v="-1.4052558255292266E-2"/>
    <n v="-0.45609325064897632"/>
    <n v="32.912336616671475"/>
    <x v="0"/>
    <n v="6934"/>
  </r>
  <r>
    <x v="59"/>
    <n v="344299.68239999999"/>
    <n v="365935.65299999999"/>
    <x v="59"/>
    <n v="31.0683705468327"/>
    <x v="59"/>
    <n v="-6.2840518612107793E-2"/>
    <n v="-1.9523525175961005"/>
    <n v="33.0207230644288"/>
    <x v="0"/>
    <n v="11082"/>
  </r>
  <r>
    <x v="60"/>
    <n v="661876.5"/>
    <n v="686656.79099999997"/>
    <x v="60"/>
    <n v="31.813338139870222"/>
    <x v="60"/>
    <n v="-3.7439448295867837E-2"/>
    <n v="-1.1910738284066333"/>
    <n v="33.004411968276855"/>
    <x v="0"/>
    <n v="20805"/>
  </r>
  <r>
    <x v="61"/>
    <n v="846678.38820000004"/>
    <n v="872081.58499999996"/>
    <x v="61"/>
    <n v="32.05900750473306"/>
    <x v="61"/>
    <n v="-3.0003360371588041E-2"/>
    <n v="-0.9618779553199488"/>
    <n v="33.020885460053009"/>
    <x v="0"/>
    <n v="26410"/>
  </r>
  <r>
    <x v="62"/>
    <n v="478902.30489999999"/>
    <n v="495554.44990000001"/>
    <x v="62"/>
    <n v="31.918308777659291"/>
    <x v="62"/>
    <n v="-3.4771486438089222E-2"/>
    <n v="-1.1098470407891199"/>
    <n v="33.028155818448411"/>
    <x v="0"/>
    <n v="15004"/>
  </r>
  <r>
    <x v="63"/>
    <n v="538827.20209999999"/>
    <n v="557567.13699999999"/>
    <x v="63"/>
    <n v="31.913480342335941"/>
    <x v="63"/>
    <n v="-3.477911810495804E-2"/>
    <n v="-1.109922701966358"/>
    <n v="33.023403044302299"/>
    <x v="0"/>
    <n v="16884"/>
  </r>
  <r>
    <x v="64"/>
    <n v="310346.1213"/>
    <n v="323325.02990000002"/>
    <x v="64"/>
    <n v="31.703557186638061"/>
    <x v="64"/>
    <n v="-4.1820753375724641E-2"/>
    <n v="-1.3258666462355713"/>
    <n v="33.029423832873633"/>
    <x v="0"/>
    <n v="9789"/>
  </r>
  <r>
    <x v="65"/>
    <n v="256390.52220000001"/>
    <n v="267308.50709999999"/>
    <x v="65"/>
    <n v="31.73542792424805"/>
    <x v="65"/>
    <n v="-4.2583418475521093E-2"/>
    <n v="-1.3514030077979911"/>
    <n v="33.086830932046041"/>
    <x v="0"/>
    <n v="8079"/>
  </r>
  <r>
    <x v="66"/>
    <n v="167803.65979999999"/>
    <n v="168135.69"/>
    <x v="66"/>
    <n v="33.084317783911672"/>
    <x v="66"/>
    <n v="-1.9786827080872068E-3"/>
    <n v="-6.5463367507888393E-2"/>
    <n v="33.14978115141956"/>
    <x v="0"/>
    <n v="5072"/>
  </r>
  <r>
    <x v="67"/>
    <n v="465318.02149999997"/>
    <n v="483774.59669999999"/>
    <x v="67"/>
    <n v="31.978422204659473"/>
    <x v="67"/>
    <n v="-3.9664432382187503E-2"/>
    <n v="-1.2684059652257602"/>
    <n v="33.246828169885234"/>
    <x v="0"/>
    <n v="14551"/>
  </r>
  <r>
    <x v="68"/>
    <n v="520146.74959999998"/>
    <n v="541498.95819999999"/>
    <x v="68"/>
    <n v="31.985410748985363"/>
    <x v="68"/>
    <n v="-4.1050354763189724E-2"/>
    <n v="-1.3130124584921923"/>
    <n v="33.298423207477555"/>
    <x v="0"/>
    <n v="16262"/>
  </r>
  <r>
    <x v="69"/>
    <n v="224699.25279999999"/>
    <n v="233589.98300000001"/>
    <x v="69"/>
    <n v="32.035821613915026"/>
    <x v="69"/>
    <n v="-3.9567244168423957E-2"/>
    <n v="-1.2675691759338505"/>
    <n v="33.303390789848876"/>
    <x v="0"/>
    <n v="7014"/>
  </r>
  <r>
    <x v="70"/>
    <n v="286230.6789"/>
    <n v="297642.89140000002"/>
    <x v="70"/>
    <n v="32.045530553067621"/>
    <x v="70"/>
    <n v="-3.9870682429492793E-2"/>
    <n v="-1.2776771719659692"/>
    <n v="33.323207725033591"/>
    <x v="0"/>
    <n v="8932"/>
  </r>
  <r>
    <x v="71"/>
    <n v="187143.01809999999"/>
    <n v="191499.0428"/>
    <x v="71"/>
    <n v="32.62036222764511"/>
    <x v="71"/>
    <n v="-2.3276447843073495E-2"/>
    <n v="-0.75928616001394289"/>
    <n v="33.379648387659053"/>
    <x v="0"/>
    <n v="5737"/>
  </r>
  <r>
    <x v="72"/>
    <n v="191700.3891"/>
    <n v="197153.424"/>
    <x v="72"/>
    <n v="32.475078621040147"/>
    <x v="72"/>
    <n v="-2.8445612059532322E-2"/>
    <n v="-0.9237734880569235"/>
    <n v="33.398852109097071"/>
    <x v="0"/>
    <n v="5903"/>
  </r>
  <r>
    <x v="73"/>
    <n v="164663.9676"/>
    <n v="168975.174"/>
    <x v="73"/>
    <n v="32.568031566455694"/>
    <x v="73"/>
    <n v="-2.6181844533667092E-2"/>
    <n v="-0.85269113924050544"/>
    <n v="33.4207227056962"/>
    <x v="0"/>
    <n v="5056"/>
  </r>
  <r>
    <x v="74"/>
    <n v="395941.34509999998"/>
    <n v="406765.91399999999"/>
    <x v="74"/>
    <n v="32.542232686775705"/>
    <x v="74"/>
    <n v="-2.7338819332611328E-2"/>
    <n v="-0.88966622010355678"/>
    <n v="33.431898906879262"/>
    <x v="0"/>
    <n v="12167"/>
  </r>
  <r>
    <x v="75"/>
    <n v="518183.21039999998"/>
    <n v="534383.14309999999"/>
    <x v="75"/>
    <n v="32.44525767954417"/>
    <x v="75"/>
    <n v="-3.126294402224037E-2"/>
    <n v="-1.0143342746227546"/>
    <n v="33.459591954166925"/>
    <x v="0"/>
    <n v="15971"/>
  </r>
  <r>
    <x v="76"/>
    <n v="226617.95490000001"/>
    <n v="233191.10459999999"/>
    <x v="76"/>
    <n v="32.522668613662461"/>
    <x v="76"/>
    <n v="-2.9005423259161094E-2"/>
    <n v="-0.94333376865671426"/>
    <n v="33.466002382319175"/>
    <x v="0"/>
    <n v="6968"/>
  </r>
  <r>
    <x v="77"/>
    <n v="243707.8719"/>
    <n v="250794.2213"/>
    <x v="77"/>
    <n v="32.520399239391516"/>
    <x v="77"/>
    <n v="-2.9077228177954502E-2"/>
    <n v="-0.94560306912196523"/>
    <n v="33.466002308513481"/>
    <x v="0"/>
    <n v="7494"/>
  </r>
  <r>
    <x v="78"/>
    <n v="94849.743799999997"/>
    <n v="90571.588919999995"/>
    <x v="78"/>
    <n v="35.038693683043959"/>
    <x v="78"/>
    <n v="4.510454861133744E-2"/>
    <n v="1.5804044625046174"/>
    <n v="33.458289220539342"/>
    <x v="1"/>
    <n v="2707"/>
  </r>
  <r>
    <x v="79"/>
    <n v="92386.783070000005"/>
    <n v="88255.840989999997"/>
    <x v="79"/>
    <n v="35.034805866514979"/>
    <x v="79"/>
    <n v="4.4713561212214287E-2"/>
    <n v="1.5665309366704605"/>
    <n v="33.468274929844519"/>
    <x v="1"/>
    <n v="2637"/>
  </r>
  <r>
    <x v="80"/>
    <n v="180394.82769999999"/>
    <n v="172344.30439999999"/>
    <x v="80"/>
    <n v="35.034924781510973"/>
    <x v="80"/>
    <n v="4.4627240163383028E-2"/>
    <n v="1.5635120023305547"/>
    <n v="33.471412779180419"/>
    <x v="1"/>
    <n v="5149"/>
  </r>
  <r>
    <x v="81"/>
    <n v="200939.6924"/>
    <n v="192019.14430000001"/>
    <x v="81"/>
    <n v="35.037435466434175"/>
    <x v="81"/>
    <n v="4.4394156243866056E-2"/>
    <n v="1.5554573844812509"/>
    <n v="33.481978081952924"/>
    <x v="1"/>
    <n v="5735"/>
  </r>
  <r>
    <x v="82"/>
    <n v="172953.9247"/>
    <n v="165201.30499999999"/>
    <x v="82"/>
    <n v="35.039287824149106"/>
    <x v="82"/>
    <n v="4.4824768870943173E-2"/>
    <n v="1.570627978119937"/>
    <n v="33.468659846029169"/>
    <x v="1"/>
    <n v="4936"/>
  </r>
  <r>
    <x v="83"/>
    <n v="70194.799540000007"/>
    <n v="67061.622709999996"/>
    <x v="83"/>
    <n v="35.044832521218176"/>
    <x v="83"/>
    <n v="4.4635455197996436E-2"/>
    <n v="1.5642420519221218"/>
    <n v="33.480590469296054"/>
    <x v="1"/>
    <n v="2003"/>
  </r>
  <r>
    <x v="84"/>
    <n v="81378.214630000002"/>
    <n v="77703.646330000003"/>
    <x v="84"/>
    <n v="35.031517275075338"/>
    <x v="84"/>
    <n v="4.5154201486319816E-2"/>
    <n v="1.5818201894102515"/>
    <n v="33.449697085665086"/>
    <x v="1"/>
    <n v="2323"/>
  </r>
  <r>
    <x v="85"/>
    <n v="130227.0147"/>
    <n v="127394.2892"/>
    <x v="85"/>
    <n v="34.073002276295135"/>
    <x v="85"/>
    <n v="2.1752210987295253E-2"/>
    <n v="0.74116313448456594"/>
    <n v="33.331839141810569"/>
    <x v="1"/>
    <n v="3822"/>
  </r>
  <r>
    <x v="86"/>
    <n v="125310.0364"/>
    <n v="122275.1026"/>
    <x v="86"/>
    <n v="34.181679323513364"/>
    <x v="86"/>
    <n v="2.421939923720267E-2"/>
    <n v="0.8278597381342081"/>
    <n v="33.353819585379156"/>
    <x v="1"/>
    <n v="3666"/>
  </r>
  <r>
    <x v="87"/>
    <n v="119452.33960000001"/>
    <n v="118186.575"/>
    <x v="87"/>
    <n v="33.715026700536271"/>
    <x v="87"/>
    <n v="1.0596398565641903E-2"/>
    <n v="0.35725786057014375"/>
    <n v="33.357768839966127"/>
    <x v="1"/>
    <n v="3543"/>
  </r>
  <r>
    <x v="88"/>
    <n v="276174.76929999999"/>
    <n v="271550.89559999999"/>
    <x v="88"/>
    <n v="33.96983632226322"/>
    <x v="88"/>
    <n v="1.6742563818265482E-2"/>
    <n v="0.56874215252152283"/>
    <n v="33.401094169741697"/>
    <x v="1"/>
    <n v="8130"/>
  </r>
  <r>
    <x v="89"/>
    <n v="357369.26689999999"/>
    <n v="352250.83010000002"/>
    <x v="89"/>
    <n v="33.976922123977943"/>
    <x v="89"/>
    <n v="1.4322543302057985E-2"/>
    <n v="0.48663593839133057"/>
    <n v="33.490286185586612"/>
    <x v="1"/>
    <n v="10518"/>
  </r>
  <r>
    <x v="90"/>
    <n v="163865.4903"/>
    <n v="160525.42689999999"/>
    <x v="90"/>
    <n v="34.20277401377583"/>
    <x v="90"/>
    <n v="2.0382957960734294E-2"/>
    <n v="0.69715370486328965"/>
    <n v="33.50562030891254"/>
    <x v="1"/>
    <n v="4791"/>
  </r>
  <r>
    <x v="91"/>
    <n v="190719.6145"/>
    <n v="187072.59520000001"/>
    <x v="91"/>
    <n v="34.160776374708938"/>
    <x v="91"/>
    <n v="1.9122413337302469E-2"/>
    <n v="0.65323648576034543"/>
    <n v="33.507539888948592"/>
    <x v="1"/>
    <n v="5583"/>
  </r>
  <r>
    <x v="92"/>
    <n v="244535.2052"/>
    <n v="239700.68479999999"/>
    <x v="92"/>
    <n v="34.176828120195665"/>
    <x v="92"/>
    <n v="1.9770242881984867E-2"/>
    <n v="0.67568419287211867"/>
    <n v="33.501143927323547"/>
    <x v="1"/>
    <n v="7155"/>
  </r>
  <r>
    <x v="93"/>
    <n v="155620.50380000001"/>
    <n v="153366.01879999999"/>
    <x v="93"/>
    <n v="34.015410666666668"/>
    <x v="93"/>
    <n v="1.4487069151873644E-2"/>
    <n v="0.4927836065573814"/>
    <n v="33.522627060109286"/>
    <x v="1"/>
    <n v="4575"/>
  </r>
  <r>
    <x v="94"/>
    <n v="136001.97820000001"/>
    <n v="134523.0686"/>
    <x v="94"/>
    <n v="34.026014060545414"/>
    <x v="94"/>
    <n v="1.087417712281492E-2"/>
    <n v="0.37000490367776706"/>
    <n v="33.656009156867647"/>
    <x v="1"/>
    <n v="3997"/>
  </r>
  <r>
    <x v="95"/>
    <n v="190559.88750000001"/>
    <n v="187742.3"/>
    <x v="95"/>
    <n v="34.285694044620371"/>
    <x v="95"/>
    <n v="1.4785837339455939E-2"/>
    <n v="0.50694269521411428"/>
    <n v="33.778751349406257"/>
    <x v="1"/>
    <n v="5558"/>
  </r>
  <r>
    <x v="96"/>
    <n v="217110.5025"/>
    <n v="213540.73420000001"/>
    <x v="96"/>
    <n v="34.352927610759494"/>
    <x v="96"/>
    <n v="1.6442172344932948E-2"/>
    <n v="0.56483675632911456"/>
    <n v="33.788090854430379"/>
    <x v="1"/>
    <n v="6320"/>
  </r>
  <r>
    <x v="97"/>
    <n v="119190.1"/>
    <n v="116856.3146"/>
    <x v="97"/>
    <n v="34.577922831447637"/>
    <x v="97"/>
    <n v="1.9580362798588203E-2"/>
    <n v="0.67704827386133104"/>
    <n v="33.900874557586306"/>
    <x v="1"/>
    <n v="3447"/>
  </r>
  <r>
    <x v="98"/>
    <n v="131910.19750000001"/>
    <n v="130784.44469999999"/>
    <x v="98"/>
    <n v="34.226828619615986"/>
    <x v="98"/>
    <n v="8.5342363315013339E-3"/>
    <n v="0.2920998443175975"/>
    <n v="33.934728775298389"/>
    <x v="1"/>
    <n v="3854"/>
  </r>
  <r>
    <x v="99"/>
    <n v="118921.3077"/>
    <n v="115305.8052"/>
    <x v="99"/>
    <n v="35.038688185032413"/>
    <x v="99"/>
    <n v="3.0402478495449661E-2"/>
    <n v="1.0652629640542131"/>
    <n v="33.9734252209782"/>
    <x v="1"/>
    <n v="3394"/>
  </r>
  <r>
    <x v="100"/>
    <n v="124828.2828"/>
    <n v="121264.7031"/>
    <x v="100"/>
    <n v="35.034600841987093"/>
    <x v="100"/>
    <n v="2.8547854861622771E-2"/>
    <n v="1.0001626999719377"/>
    <n v="34.034438142015155"/>
    <x v="1"/>
    <n v="3563"/>
  </r>
  <r>
    <x v="101"/>
    <n v="179326.4902"/>
    <n v="183278.5024"/>
    <x v="101"/>
    <n v="33.332061375464683"/>
    <x v="101"/>
    <n v="-2.2038083696348378E-2"/>
    <n v="-0.7345747583643103"/>
    <n v="34.066636133828993"/>
    <x v="0"/>
    <n v="5380"/>
  </r>
  <r>
    <x v="102"/>
    <n v="318949.81709999999"/>
    <n v="326322.52600000001"/>
    <x v="102"/>
    <n v="33.317645158257598"/>
    <x v="102"/>
    <n v="-2.3115576509919959E-2"/>
    <n v="-0.77015657578606778"/>
    <n v="34.087801734043666"/>
    <x v="0"/>
    <n v="9573"/>
  </r>
  <r>
    <x v="103"/>
    <n v="375031.10930000001"/>
    <n v="383727.19400000002"/>
    <x v="103"/>
    <n v="33.336098604444445"/>
    <x v="103"/>
    <n v="-2.3187635597034472E-2"/>
    <n v="-0.7729853066666692"/>
    <n v="34.109083911111114"/>
    <x v="0"/>
    <n v="11250"/>
  </r>
  <r>
    <x v="104"/>
    <n v="166393.54070000001"/>
    <n v="170061.86410000001"/>
    <x v="104"/>
    <n v="33.345398937875757"/>
    <x v="104"/>
    <n v="-2.2046068522658665E-2"/>
    <n v="-0.73513494989979478"/>
    <n v="34.080533887775552"/>
    <x v="0"/>
    <n v="4990"/>
  </r>
  <r>
    <x v="105"/>
    <n v="193652.3278"/>
    <n v="198212.0687"/>
    <x v="105"/>
    <n v="33.330865370051633"/>
    <x v="105"/>
    <n v="-2.3546016470864257E-2"/>
    <n v="-0.78480910499139611"/>
    <n v="34.115674475043029"/>
    <x v="0"/>
    <n v="5810"/>
  </r>
  <r>
    <x v="106"/>
    <n v="249805.5172"/>
    <n v="255956.65400000001"/>
    <x v="106"/>
    <n v="33.32073058556756"/>
    <x v="106"/>
    <n v="-2.4623702746626158E-2"/>
    <n v="-0.82047976523943333"/>
    <n v="34.141210350806993"/>
    <x v="0"/>
    <n v="7497"/>
  </r>
  <r>
    <x v="107"/>
    <n v="294023.41090000002"/>
    <n v="301522.35230000003"/>
    <x v="107"/>
    <n v="33.332208468427616"/>
    <x v="107"/>
    <n v="-2.5504572500012482E-2"/>
    <n v="-0.85012372746854226"/>
    <n v="34.182332195896159"/>
    <x v="0"/>
    <n v="8821"/>
  </r>
  <r>
    <x v="108"/>
    <n v="612236.00580000004"/>
    <n v="627927.75870000001"/>
    <x v="108"/>
    <n v="33.335293792878147"/>
    <x v="108"/>
    <n v="-2.5630235319949492E-2"/>
    <n v="-0.8543914243711157"/>
    <n v="34.189685217249263"/>
    <x v="0"/>
    <n v="18366"/>
  </r>
  <r>
    <x v="109"/>
    <n v="464815.51789999998"/>
    <n v="476692.54369999998"/>
    <x v="109"/>
    <n v="33.344011327116213"/>
    <x v="109"/>
    <n v="-2.5552128409265407E-2"/>
    <n v="-0.85201045911047402"/>
    <n v="34.196021786226687"/>
    <x v="0"/>
    <n v="13940"/>
  </r>
  <r>
    <x v="110"/>
    <n v="360480.94040000002"/>
    <n v="369765.6128"/>
    <x v="110"/>
    <n v="33.334653264287034"/>
    <x v="110"/>
    <n v="-2.5756347588578307E-2"/>
    <n v="-0.85857891621971305"/>
    <n v="34.193232180506747"/>
    <x v="0"/>
    <n v="10814"/>
  </r>
  <r>
    <x v="111"/>
    <n v="114279.5773"/>
    <n v="117190.8262"/>
    <x v="111"/>
    <n v="33.327377456984543"/>
    <x v="111"/>
    <n v="-2.5474795836508499E-2"/>
    <n v="-0.84900813648293649"/>
    <n v="34.176385593467479"/>
    <x v="0"/>
    <n v="3429"/>
  </r>
  <r>
    <x v="112"/>
    <n v="161170.8204"/>
    <n v="165415.08379999999"/>
    <x v="112"/>
    <n v="33.341088208522962"/>
    <x v="112"/>
    <n v="-2.6333944255333679E-2"/>
    <n v="-0.87800235829540441"/>
    <n v="34.219090566818366"/>
    <x v="0"/>
    <n v="4834"/>
  </r>
  <r>
    <x v="113"/>
    <n v="182483.1465"/>
    <n v="187344.7372"/>
    <x v="113"/>
    <n v="33.330255068493152"/>
    <x v="113"/>
    <n v="-2.6641313421236962E-2"/>
    <n v="-0.88796177168949697"/>
    <n v="34.218216840182649"/>
    <x v="0"/>
    <n v="5475"/>
  </r>
  <r>
    <x v="114"/>
    <n v="109358.41250000001"/>
    <n v="106849.8988"/>
    <x v="114"/>
    <n v="35.039542614546619"/>
    <x v="114"/>
    <n v="2.2938461181484418E-2"/>
    <n v="0.8037531880807407"/>
    <n v="34.235789426465878"/>
    <x v="1"/>
    <n v="3121"/>
  </r>
  <r>
    <x v="115"/>
    <n v="98430.114109999995"/>
    <n v="96197.482229999994"/>
    <x v="115"/>
    <n v="35.040980459238163"/>
    <x v="115"/>
    <n v="2.268240670233234E-2"/>
    <n v="0.79481377002492337"/>
    <n v="34.24616668921324"/>
    <x v="1"/>
    <n v="2809"/>
  </r>
  <r>
    <x v="116"/>
    <n v="295741.34700000001"/>
    <n v="292327.02830000001"/>
    <x v="116"/>
    <n v="34.64230373667565"/>
    <x v="116"/>
    <n v="1.1544948769033649E-2"/>
    <n v="0.39994362188122778"/>
    <n v="34.242360114794423"/>
    <x v="1"/>
    <n v="8537"/>
  </r>
  <r>
    <x v="117"/>
    <n v="285053.97989999998"/>
    <n v="281159.58110000001"/>
    <x v="117"/>
    <n v="34.724568144719207"/>
    <x v="117"/>
    <n v="1.3661969572802189E-2"/>
    <n v="0.47440599342184697"/>
    <n v="34.25016215129736"/>
    <x v="1"/>
    <n v="8209"/>
  </r>
  <r>
    <x v="118"/>
    <n v="124964.7965"/>
    <n v="123042.159"/>
    <x v="118"/>
    <n v="34.789754036748327"/>
    <x v="118"/>
    <n v="1.5385432968716091E-2"/>
    <n v="0.53525542873050824"/>
    <n v="34.254498608017819"/>
    <x v="1"/>
    <n v="3592"/>
  </r>
  <r>
    <x v="119"/>
    <n v="124175.80839999999"/>
    <n v="122516.06570000001"/>
    <x v="119"/>
    <n v="34.724778635346752"/>
    <x v="119"/>
    <n v="1.336607122905582E-2"/>
    <n v="0.4641338646532347"/>
    <n v="34.260644770693517"/>
    <x v="1"/>
    <n v="3576"/>
  </r>
  <r>
    <x v="120"/>
    <n v="131842.5716"/>
    <n v="130405.26390000001"/>
    <x v="120"/>
    <n v="34.631618492251114"/>
    <x v="120"/>
    <n v="1.0901696489663968E-2"/>
    <n v="0.37754339374835411"/>
    <n v="34.25407509850276"/>
    <x v="1"/>
    <n v="3807"/>
  </r>
  <r>
    <x v="121"/>
    <n v="154850.05729999999"/>
    <n v="150644.34820000001"/>
    <x v="121"/>
    <n v="35.209199022282853"/>
    <x v="121"/>
    <n v="2.7159880812003927E-2"/>
    <n v="0.9562776489313265"/>
    <n v="34.252921373351526"/>
    <x v="1"/>
    <n v="4398"/>
  </r>
  <r>
    <x v="122"/>
    <n v="180294.26869999999"/>
    <n v="175656.65040000001"/>
    <x v="122"/>
    <n v="35.186235109289612"/>
    <x v="122"/>
    <n v="2.5722494305776972E-2"/>
    <n v="0.90507773224042865"/>
    <n v="34.281157377049183"/>
    <x v="1"/>
    <n v="5124"/>
  </r>
  <r>
    <x v="123"/>
    <n v="163849.03580000001"/>
    <n v="157300.6256"/>
    <x v="123"/>
    <n v="35.76708923815761"/>
    <x v="123"/>
    <n v="3.9966119837246017E-2"/>
    <n v="1.4294717747216765"/>
    <n v="34.337617463435933"/>
    <x v="1"/>
    <n v="4581"/>
  </r>
  <r>
    <x v="124"/>
    <n v="131436.79240000001"/>
    <n v="127601.94469999999"/>
    <x v="124"/>
    <n v="35.552283581282126"/>
    <x v="124"/>
    <n v="2.9176364014799352E-2"/>
    <n v="1.0372863673248673"/>
    <n v="34.514997213957258"/>
    <x v="1"/>
    <n v="3697"/>
  </r>
  <r>
    <x v="125"/>
    <n v="93082.043959999995"/>
    <n v="91601.506540000002"/>
    <x v="125"/>
    <n v="35.231659333838003"/>
    <x v="125"/>
    <n v="1.5905725282915169E-2"/>
    <n v="0.56038509462528197"/>
    <n v="34.671274239212721"/>
    <x v="1"/>
    <n v="2642"/>
  </r>
  <r>
    <x v="126"/>
    <n v="110887.01330000001"/>
    <n v="109460.1532"/>
    <x v="126"/>
    <n v="35.157581896005077"/>
    <x v="126"/>
    <n v="1.2867693497521636E-2"/>
    <n v="0.45239698795180772"/>
    <n v="34.705184908053269"/>
    <x v="1"/>
    <n v="3154"/>
  </r>
  <r>
    <x v="127"/>
    <n v="119385.5754"/>
    <n v="115693.1066"/>
    <x v="127"/>
    <n v="35.916238086642601"/>
    <x v="127"/>
    <n v="3.0928935825190171E-2"/>
    <n v="1.1108510228640185"/>
    <n v="34.805387063778582"/>
    <x v="1"/>
    <n v="3324"/>
  </r>
  <r>
    <x v="128"/>
    <n v="91719.589380000005"/>
    <n v="93157.170580000005"/>
    <x v="128"/>
    <n v="34.262080455734029"/>
    <x v="128"/>
    <n v="-1.5673654992544847E-2"/>
    <n v="-0.53701202838999507"/>
    <n v="34.799092484124024"/>
    <x v="0"/>
    <n v="2677"/>
  </r>
  <r>
    <x v="129"/>
    <n v="96335.448950000005"/>
    <n v="93696.216140000004"/>
    <x v="129"/>
    <n v="35.905869903093553"/>
    <x v="129"/>
    <n v="2.7396278719475475E-2"/>
    <n v="0.98368721953037408"/>
    <n v="34.922182683563179"/>
    <x v="1"/>
    <n v="2683"/>
  </r>
  <r>
    <x v="130"/>
    <n v="303226.29840000003"/>
    <n v="325836.94010000001"/>
    <x v="130"/>
    <n v="32.50710746140652"/>
    <x v="130"/>
    <n v="-7.4566888885650745E-2"/>
    <n v="-2.4239538700686083"/>
    <n v="34.931061331475128"/>
    <x v="0"/>
    <n v="9328"/>
  </r>
  <r>
    <x v="131"/>
    <n v="431695.70919999998"/>
    <n v="465253.81569999998"/>
    <x v="131"/>
    <n v="32.443687749887268"/>
    <x v="131"/>
    <n v="-7.773555721039814E-2"/>
    <n v="-2.5220281451976518"/>
    <n v="34.965715895084919"/>
    <x v="0"/>
    <n v="13306"/>
  </r>
  <r>
    <x v="132"/>
    <n v="200407.27710000001"/>
    <n v="215907.82490000001"/>
    <x v="132"/>
    <n v="32.465134796695288"/>
    <x v="132"/>
    <n v="-7.7345234286405065E-2"/>
    <n v="-2.5110234569901166"/>
    <n v="34.976158253685405"/>
    <x v="0"/>
    <n v="6173"/>
  </r>
  <r>
    <x v="133"/>
    <n v="183413.7083"/>
    <n v="197835.4951"/>
    <x v="133"/>
    <n v="32.445375605872989"/>
    <x v="133"/>
    <n v="-7.8629819622920746E-2"/>
    <n v="-2.5511740314877045"/>
    <n v="34.996549637360694"/>
    <x v="0"/>
    <n v="5653"/>
  </r>
  <r>
    <x v="134"/>
    <n v="146166.6011"/>
    <n v="157693.1893"/>
    <x v="134"/>
    <n v="32.459827026426829"/>
    <x v="134"/>
    <n v="-7.8859247688971526E-2"/>
    <n v="-2.5597575394181646"/>
    <n v="35.019584565844994"/>
    <x v="0"/>
    <n v="4503"/>
  </r>
  <r>
    <x v="135"/>
    <n v="201120.72760000001"/>
    <n v="218098.76190000001"/>
    <x v="135"/>
    <n v="32.163877754677756"/>
    <x v="135"/>
    <n v="-8.4417128471048736E-2"/>
    <n v="-2.7151822005437367"/>
    <n v="34.879059955221493"/>
    <x v="0"/>
    <n v="6253"/>
  </r>
  <r>
    <x v="136"/>
    <n v="270123.55080000003"/>
    <n v="289864.79849999998"/>
    <x v="136"/>
    <n v="32.126968458610847"/>
    <x v="136"/>
    <n v="-7.3082290091086521E-2"/>
    <n v="-2.3479124286393898"/>
    <n v="34.474880887250237"/>
    <x v="0"/>
    <n v="8408"/>
  </r>
  <r>
    <x v="137"/>
    <n v="415315.38390000002"/>
    <n v="441790.7672"/>
    <x v="137"/>
    <n v="32.073162707544988"/>
    <x v="137"/>
    <n v="-6.3747658589922956E-2"/>
    <n v="-2.0445890261796222"/>
    <n v="34.11775173372461"/>
    <x v="0"/>
    <n v="12949"/>
  </r>
  <r>
    <x v="138"/>
    <n v="498716.9976"/>
    <n v="526707.37699999998"/>
    <x v="138"/>
    <n v="32.1586921330926"/>
    <x v="138"/>
    <n v="-5.6124775242671565E-2"/>
    <n v="-1.8048993680680923"/>
    <n v="33.963591501160693"/>
    <x v="0"/>
    <n v="15508"/>
  </r>
  <r>
    <x v="139"/>
    <n v="166433.1721"/>
    <n v="174376.63250000001"/>
    <x v="139"/>
    <n v="32.373696187512159"/>
    <x v="139"/>
    <n v="-4.7727627249856464E-2"/>
    <n v="-1.5451197043376794"/>
    <n v="33.918815891849839"/>
    <x v="0"/>
    <n v="5141"/>
  </r>
  <r>
    <x v="140"/>
    <n v="168520.62940000001"/>
    <n v="175540.11550000001"/>
    <x v="140"/>
    <n v="32.445250173276861"/>
    <x v="140"/>
    <n v="-4.1653571583444425E-2"/>
    <n v="-1.3514605506353448"/>
    <n v="33.796710723912206"/>
    <x v="0"/>
    <n v="5194"/>
  </r>
  <r>
    <x v="141"/>
    <n v="178123.53210000001"/>
    <n v="187748.1722"/>
    <x v="141"/>
    <n v="32.09433010810811"/>
    <x v="141"/>
    <n v="-5.4033512509715102E-2"/>
    <n v="-1.7341693873873822"/>
    <n v="33.828499495495493"/>
    <x v="0"/>
    <n v="5550"/>
  </r>
  <r>
    <x v="142"/>
    <n v="194878.8026"/>
    <n v="204460.6654"/>
    <x v="142"/>
    <n v="32.105239308072484"/>
    <x v="142"/>
    <n v="-4.916831729342739E-2"/>
    <n v="-1.5785605930807307"/>
    <n v="33.683799901153215"/>
    <x v="0"/>
    <n v="6070"/>
  </r>
  <r>
    <x v="143"/>
    <n v="115475.0969"/>
    <n v="115011.3226"/>
    <x v="143"/>
    <n v="33.754778398129204"/>
    <x v="143"/>
    <n v="4.0162278486904181E-3"/>
    <n v="0.13556688102894299"/>
    <n v="33.619211517100261"/>
    <x v="1"/>
    <n v="3421"/>
  </r>
  <r>
    <x v="144"/>
    <n v="430521.0245"/>
    <n v="449274.1863"/>
    <x v="144"/>
    <n v="32.166842834728037"/>
    <x v="144"/>
    <n v="-4.355922413261841E-2"/>
    <n v="-1.4011627166766232"/>
    <n v="33.56800555140466"/>
    <x v="0"/>
    <n v="13384"/>
  </r>
  <r>
    <x v="145"/>
    <n v="590642.82570000004"/>
    <n v="614245.79410000006"/>
    <x v="145"/>
    <n v="32.177098806929614"/>
    <x v="145"/>
    <n v="-3.9961491739152109E-2"/>
    <n v="-1.2858448681630037"/>
    <n v="33.462943675092617"/>
    <x v="0"/>
    <n v="18356"/>
  </r>
  <r>
    <x v="146"/>
    <n v="210764.71799999999"/>
    <n v="217364.46299999999"/>
    <x v="146"/>
    <n v="32.425341230769227"/>
    <x v="146"/>
    <n v="-3.1313329207215773E-2"/>
    <n v="-1.0153453846153866"/>
    <n v="33.440686615384614"/>
    <x v="0"/>
    <n v="6500"/>
  </r>
  <r>
    <x v="147"/>
    <n v="218189.34849999999"/>
    <n v="225607.59520000001"/>
    <x v="147"/>
    <n v="32.314773178317537"/>
    <x v="147"/>
    <n v="-3.3999123930653373E-2"/>
    <n v="-1.0986739780805692"/>
    <n v="33.413447156398107"/>
    <x v="0"/>
    <n v="6752"/>
  </r>
  <r>
    <x v="148"/>
    <n v="226132.4639"/>
    <n v="234496.5128"/>
    <x v="148"/>
    <n v="32.198841506478715"/>
    <x v="148"/>
    <n v="-3.6987386754423431E-2"/>
    <n v="-1.1909510038445106"/>
    <n v="33.389792510323225"/>
    <x v="0"/>
    <n v="7023"/>
  </r>
  <r>
    <x v="149"/>
    <n v="243720.86799999999"/>
    <n v="252929.2947"/>
    <x v="149"/>
    <n v="32.157391212561024"/>
    <x v="149"/>
    <n v="-3.7782676450996436E-2"/>
    <n v="-1.2149923076923059"/>
    <n v="33.372383520253329"/>
    <x v="0"/>
    <n v="7579"/>
  </r>
  <r>
    <x v="150"/>
    <n v="207429.429"/>
    <n v="215118.84650000001"/>
    <x v="150"/>
    <n v="32.169576457816376"/>
    <x v="150"/>
    <n v="-3.7070041300648858E-2"/>
    <n v="-1.1925275279156367"/>
    <n v="33.362103985732013"/>
    <x v="0"/>
    <n v="6448"/>
  </r>
  <r>
    <x v="151"/>
    <n v="503149.4313"/>
    <n v="521651.08610000001"/>
    <x v="151"/>
    <n v="32.17685178103217"/>
    <x v="151"/>
    <n v="-3.6771689778515346E-2"/>
    <n v="-1.1831972117413798"/>
    <n v="33.36004899277355"/>
    <x v="0"/>
    <n v="15637"/>
  </r>
  <r>
    <x v="152"/>
    <n v="603748.78949999996"/>
    <n v="626259.38679999998"/>
    <x v="152"/>
    <n v="32.157059360852195"/>
    <x v="152"/>
    <n v="-3.7284707963791332E-2"/>
    <n v="-1.1989665672436729"/>
    <n v="33.356025928095868"/>
    <x v="0"/>
    <n v="18775"/>
  </r>
  <r>
    <x v="153"/>
    <n v="456017.46309999999"/>
    <n v="473223.98070000001"/>
    <x v="153"/>
    <n v="32.141067317451366"/>
    <x v="153"/>
    <n v="-3.7732146227537795E-2"/>
    <n v="-1.2127514519312115"/>
    <n v="33.353818769382578"/>
    <x v="0"/>
    <n v="14188"/>
  </r>
  <r>
    <x v="154"/>
    <n v="425845.196"/>
    <n v="442155.99119999999"/>
    <x v="154"/>
    <n v="32.124713035606518"/>
    <x v="154"/>
    <n v="-3.8302170256254327E-2"/>
    <n v="-1.2304462281231139"/>
    <n v="33.355159263729632"/>
    <x v="0"/>
    <n v="13256"/>
  </r>
  <r>
    <x v="155"/>
    <n v="328217.77"/>
    <n v="340913.59169999999"/>
    <x v="155"/>
    <n v="32.105817274772576"/>
    <x v="155"/>
    <n v="-3.8681091825101273E-2"/>
    <n v="-1.2418880661253979"/>
    <n v="33.347705340897974"/>
    <x v="0"/>
    <n v="10223"/>
  </r>
  <r>
    <x v="156"/>
    <n v="286405.9988"/>
    <n v="296902.67249999999"/>
    <x v="156"/>
    <n v="32.165992677448337"/>
    <x v="156"/>
    <n v="-3.6649629351268968E-2"/>
    <n v="-1.178871709344115"/>
    <n v="33.344864386792452"/>
    <x v="0"/>
    <n v="8904"/>
  </r>
  <r>
    <x v="157"/>
    <n v="184989.88870000001"/>
    <n v="192824.89009999999"/>
    <x v="157"/>
    <n v="31.988567992391495"/>
    <x v="157"/>
    <n v="-4.2353673787577012E-2"/>
    <n v="-1.3548333736814726"/>
    <n v="33.343401366072968"/>
    <x v="0"/>
    <n v="5783"/>
  </r>
  <r>
    <x v="158"/>
    <n v="288118.30440000002"/>
    <n v="300213.55940000003"/>
    <x v="158"/>
    <n v="31.995369727928932"/>
    <x v="158"/>
    <n v="-4.1980168615763945E-2"/>
    <n v="-1.3431710161021684"/>
    <n v="33.3385407440311"/>
    <x v="0"/>
    <n v="9005"/>
  </r>
  <r>
    <x v="159"/>
    <n v="391930.87800000003"/>
    <n v="407438.91960000002"/>
    <x v="159"/>
    <n v="32.067654884634265"/>
    <x v="159"/>
    <n v="-3.9568307756552921E-2"/>
    <n v="-1.2688628375061413"/>
    <n v="33.336517722140407"/>
    <x v="0"/>
    <n v="12222"/>
  </r>
  <r>
    <x v="160"/>
    <n v="193772.58110000001"/>
    <n v="201254.71249999999"/>
    <x v="160"/>
    <n v="32.097495626967039"/>
    <x v="160"/>
    <n v="-3.8612952139697662E-2"/>
    <n v="-1.2393790624482364"/>
    <n v="33.336874689415275"/>
    <x v="0"/>
    <n v="6037"/>
  </r>
  <r>
    <x v="161"/>
    <n v="214177.9834"/>
    <n v="220255.21919999999"/>
    <x v="161"/>
    <n v="32.416828121689115"/>
    <x v="161"/>
    <n v="-2.8374698946763897E-2"/>
    <n v="-0.91981773876192108"/>
    <n v="33.336645860451036"/>
    <x v="0"/>
    <n v="6607"/>
  </r>
  <r>
    <x v="162"/>
    <n v="188334.52119999999"/>
    <n v="195254.78099999999"/>
    <x v="162"/>
    <n v="32.155458630698305"/>
    <x v="162"/>
    <n v="-3.674451054382695E-2"/>
    <n v="-1.1815365886972842"/>
    <n v="33.33699521939559"/>
    <x v="0"/>
    <n v="5857"/>
  </r>
  <r>
    <x v="163"/>
    <n v="174324.99479999999"/>
    <n v="180978.601"/>
    <x v="163"/>
    <n v="32.109964044943816"/>
    <x v="163"/>
    <n v="-3.8167826751600221E-2"/>
    <n v="-1.2255675446675269"/>
    <n v="33.335531589611342"/>
    <x v="0"/>
    <n v="5429"/>
  </r>
  <r>
    <x v="164"/>
    <n v="200271.5643"/>
    <n v="207757.70300000001"/>
    <x v="164"/>
    <n v="32.136001973684209"/>
    <x v="164"/>
    <n v="-3.7379938216221396E-2"/>
    <n v="-1.2012417682926824"/>
    <n v="33.337243741976891"/>
    <x v="0"/>
    <n v="6232"/>
  </r>
  <r>
    <x v="165"/>
    <n v="468701.63020000001"/>
    <n v="486180.54440000001"/>
    <x v="165"/>
    <n v="32.135867685978745"/>
    <x v="165"/>
    <n v="-3.7292198434516984E-2"/>
    <n v="-1.198417154610901"/>
    <n v="33.334284840589646"/>
    <x v="0"/>
    <n v="14585"/>
  </r>
  <r>
    <x v="166"/>
    <n v="473425.75420000002"/>
    <n v="492135.29229999997"/>
    <x v="166"/>
    <n v="32.107545215327228"/>
    <x v="166"/>
    <n v="-3.951947677966005E-2"/>
    <n v="-1.2688733875890108"/>
    <n v="33.376418602916239"/>
    <x v="0"/>
    <n v="14745"/>
  </r>
  <r>
    <x v="167"/>
    <n v="224232.1214"/>
    <n v="233554.03219999999"/>
    <x v="167"/>
    <n v="32.074398712630526"/>
    <x v="167"/>
    <n v="-4.1572593354593235E-2"/>
    <n v="-1.3334159347732779"/>
    <n v="33.407814647403804"/>
    <x v="0"/>
    <n v="6991"/>
  </r>
  <r>
    <x v="168"/>
    <n v="185606.27499999999"/>
    <n v="193340.31539999999"/>
    <x v="168"/>
    <n v="32.067428299930889"/>
    <x v="168"/>
    <n v="-4.1669067492464885E-2"/>
    <n v="-1.3362198341395981"/>
    <n v="33.403648134070487"/>
    <x v="0"/>
    <n v="5788"/>
  </r>
  <r>
    <x v="169"/>
    <n v="212687.50940000001"/>
    <n v="221403.64499999999"/>
    <x v="169"/>
    <n v="32.069889837153198"/>
    <x v="169"/>
    <n v="-4.0980947233754103E-2"/>
    <n v="-1.3142544632086839"/>
    <n v="33.384144300361882"/>
    <x v="0"/>
    <n v="6632"/>
  </r>
  <r>
    <x v="170"/>
    <n v="184259.6924"/>
    <n v="192057.51079999999"/>
    <x v="170"/>
    <n v="32.034021627260081"/>
    <x v="170"/>
    <n v="-4.2319718970723674E-2"/>
    <n v="-1.3556707927677323"/>
    <n v="33.389692420027814"/>
    <x v="0"/>
    <n v="5752"/>
  </r>
  <r>
    <x v="171"/>
    <n v="113735.8162"/>
    <n v="119544.01979999999"/>
    <x v="171"/>
    <n v="31.787539463387368"/>
    <x v="171"/>
    <n v="-5.1067498296108356E-2"/>
    <n v="-1.6233101173840083"/>
    <n v="33.410849580771377"/>
    <x v="0"/>
    <n v="3578"/>
  </r>
  <r>
    <x v="172"/>
    <n v="203165.08300000001"/>
    <n v="205350.64309999999"/>
    <x v="172"/>
    <n v="33.202334204935447"/>
    <x v="172"/>
    <n v="-1.0757557685244433E-2"/>
    <n v="-0.35717602549436123"/>
    <n v="33.559510230429808"/>
    <x v="0"/>
    <n v="6119"/>
  </r>
  <r>
    <x v="173"/>
    <n v="203345.24460000001"/>
    <n v="206918.91260000001"/>
    <x v="173"/>
    <n v="33.00523366336634"/>
    <x v="173"/>
    <n v="-1.7574386885858873E-2"/>
    <n v="-0.58004674565817282"/>
    <n v="33.585280409024513"/>
    <x v="0"/>
    <n v="6161"/>
  </r>
  <r>
    <x v="174"/>
    <n v="134944.489"/>
    <n v="135372.527"/>
    <x v="174"/>
    <n v="33.610084433374844"/>
    <x v="174"/>
    <n v="-3.1719561367193031E-3"/>
    <n v="-0.10660971357409466"/>
    <n v="33.716694146948939"/>
    <x v="0"/>
    <n v="4015"/>
  </r>
  <r>
    <x v="175"/>
    <n v="138298.2102"/>
    <n v="139206.0269"/>
    <x v="175"/>
    <n v="33.461942947011856"/>
    <x v="175"/>
    <n v="-6.5641970253060853E-3"/>
    <n v="-0.21965078635373914"/>
    <n v="33.681593733365595"/>
    <x v="0"/>
    <n v="4133"/>
  </r>
  <r>
    <x v="176"/>
    <n v="36692.679859999997"/>
    <n v="35299.06424"/>
    <x v="176"/>
    <n v="35.04553950334288"/>
    <x v="176"/>
    <n v="3.7980753254254047E-2"/>
    <n v="1.3310559885386795"/>
    <n v="33.714483514804201"/>
    <x v="1"/>
    <n v="1047"/>
  </r>
  <r>
    <x v="177"/>
    <n v="56077.542690000002"/>
    <n v="53925.25763"/>
    <x v="177"/>
    <n v="35.026572573391633"/>
    <x v="177"/>
    <n v="3.8380516633868253E-2"/>
    <n v="1.3443379512804512"/>
    <n v="33.682234622111181"/>
    <x v="1"/>
    <n v="1601"/>
  </r>
  <r>
    <x v="178"/>
    <n v="55780.707450000002"/>
    <n v="53688.241199999997"/>
    <x v="178"/>
    <n v="35.038132820351763"/>
    <x v="178"/>
    <n v="3.7512364859761289E-2"/>
    <n v="1.3143632223618127"/>
    <n v="33.72376959798995"/>
    <x v="1"/>
    <n v="1592"/>
  </r>
  <r>
    <x v="179"/>
    <n v="131721.2383"/>
    <n v="127302.4271"/>
    <x v="179"/>
    <n v="35.041563793562119"/>
    <x v="179"/>
    <n v="3.3546687360590938E-2"/>
    <n v="1.1755283852088354"/>
    <n v="33.866035408353284"/>
    <x v="1"/>
    <n v="3759"/>
  </r>
  <r>
    <x v="180"/>
    <n v="146169.0766"/>
    <n v="141012.32939999999"/>
    <x v="43"/>
    <n v="35.03573264621285"/>
    <x v="180"/>
    <n v="3.5279330758254325E-2"/>
    <n v="1.2360372003835138"/>
    <n v="33.799695445829336"/>
    <x v="1"/>
    <n v="4172"/>
  </r>
  <r>
    <x v="181"/>
    <n v="62073.58541"/>
    <n v="60083.869839999999"/>
    <x v="180"/>
    <n v="35.03024007336343"/>
    <x v="181"/>
    <n v="3.2054142786465477E-2"/>
    <n v="1.1228643171557522"/>
    <n v="33.907375756207678"/>
    <x v="1"/>
    <n v="1772"/>
  </r>
  <r>
    <x v="182"/>
    <n v="93619.846990000005"/>
    <n v="90294.376090000005"/>
    <x v="181"/>
    <n v="35.037367885479043"/>
    <x v="182"/>
    <n v="3.5521003365399755E-2"/>
    <n v="1.2445624625748479"/>
    <n v="33.792805422904195"/>
    <x v="1"/>
    <n v="2672"/>
  </r>
  <r>
    <x v="183"/>
    <n v="180183.03140000001"/>
    <n v="173842.9209"/>
    <x v="182"/>
    <n v="35.034616255104027"/>
    <x v="183"/>
    <n v="3.5187056465518035E-2"/>
    <n v="1.2327650204161031"/>
    <n v="33.801851234687923"/>
    <x v="1"/>
    <n v="5143"/>
  </r>
  <r>
    <x v="184"/>
    <n v="104760.7062"/>
    <n v="101615.732"/>
    <x v="9"/>
    <n v="35.037025484949829"/>
    <x v="184"/>
    <n v="3.002055173240133E-2"/>
    <n v="1.051830836120395"/>
    <n v="33.985194648829435"/>
    <x v="1"/>
    <n v="2990"/>
  </r>
  <r>
    <x v="185"/>
    <n v="93450.533679999993"/>
    <n v="90927.089659999998"/>
    <x v="183"/>
    <n v="35.039570183727029"/>
    <x v="185"/>
    <n v="2.7002992071088142E-2"/>
    <n v="0.94617323584551372"/>
    <n v="34.093396947881516"/>
    <x v="1"/>
    <n v="2667"/>
  </r>
  <r>
    <x v="186"/>
    <n v="98087.555900000007"/>
    <n v="95423.273990000002"/>
    <x v="184"/>
    <n v="35.043785602000717"/>
    <x v="186"/>
    <n v="2.716228257044383E-2"/>
    <n v="0.95186920685959819"/>
    <n v="34.091916395141119"/>
    <x v="1"/>
    <n v="2799"/>
  </r>
  <r>
    <x v="187"/>
    <n v="117562.2629"/>
    <n v="114395.62760000001"/>
    <x v="185"/>
    <n v="35.040912935916545"/>
    <x v="187"/>
    <n v="2.6935814451730791E-2"/>
    <n v="0.94385552906110348"/>
    <n v="34.097057406855441"/>
    <x v="1"/>
    <n v="3355"/>
  </r>
  <r>
    <x v="188"/>
    <n v="70153.080969999995"/>
    <n v="68252.242209999997"/>
    <x v="186"/>
    <n v="35.041498986013984"/>
    <x v="188"/>
    <n v="2.7095584879769805E-2"/>
    <n v="0.94946991008990977"/>
    <n v="34.092029075924074"/>
    <x v="1"/>
    <n v="2002"/>
  </r>
  <r>
    <x v="189"/>
    <n v="68918.415290000004"/>
    <n v="66990.881349999996"/>
    <x v="187"/>
    <n v="35.0373234824606"/>
    <x v="189"/>
    <n v="2.7968343901832168E-2"/>
    <n v="0.97993591255719537"/>
    <n v="34.057387569903405"/>
    <x v="1"/>
    <n v="1967"/>
  </r>
  <r>
    <x v="190"/>
    <n v="108417.4028"/>
    <n v="105373.3"/>
    <x v="188"/>
    <n v="35.04117737556561"/>
    <x v="190"/>
    <n v="2.807762150155467E-2"/>
    <n v="0.98387291531997079"/>
    <n v="34.057304460245639"/>
    <x v="1"/>
    <n v="3094"/>
  </r>
  <r>
    <x v="191"/>
    <n v="81802.608210000006"/>
    <n v="79496.49424"/>
    <x v="189"/>
    <n v="35.033236920770882"/>
    <x v="191"/>
    <n v="2.8191203440357953E-2"/>
    <n v="0.98762910920770963"/>
    <n v="34.045607811563173"/>
    <x v="1"/>
    <n v="2335"/>
  </r>
  <r>
    <x v="192"/>
    <n v="103998.5597"/>
    <n v="101270.9711"/>
    <x v="190"/>
    <n v="35.039945990566039"/>
    <x v="192"/>
    <n v="2.6227176682717106E-2"/>
    <n v="0.91899885444744456"/>
    <n v="34.120947136118595"/>
    <x v="1"/>
    <n v="2968"/>
  </r>
  <r>
    <x v="193"/>
    <n v="134018.08929999999"/>
    <n v="130633.26270000001"/>
    <x v="191"/>
    <n v="35.03740896732026"/>
    <x v="193"/>
    <n v="2.5256490505718515E-2"/>
    <n v="0.88492198692809865"/>
    <n v="34.152486980392162"/>
    <x v="1"/>
    <n v="3825"/>
  </r>
  <r>
    <x v="194"/>
    <n v="99277.299499999994"/>
    <n v="96688.497810000001"/>
    <x v="192"/>
    <n v="35.043169608189196"/>
    <x v="194"/>
    <n v="2.6076471691295282E-2"/>
    <n v="0.9138022202612035"/>
    <n v="34.129367387927992"/>
    <x v="1"/>
    <n v="2833"/>
  </r>
  <r>
    <x v="195"/>
    <n v="49705.232000000004"/>
    <n v="48370.308989999998"/>
    <x v="193"/>
    <n v="35.028352360817479"/>
    <x v="195"/>
    <n v="2.6856790649322507E-2"/>
    <n v="0.94074912614517814"/>
    <n v="34.087603234672301"/>
    <x v="1"/>
    <n v="1419"/>
  </r>
  <r>
    <x v="196"/>
    <n v="75384.574550000005"/>
    <n v="73393.446590000007"/>
    <x v="194"/>
    <n v="35.046292212924222"/>
    <x v="196"/>
    <n v="2.6412936225823639E-2"/>
    <n v="0.9256754811715453"/>
    <n v="34.120616731752676"/>
    <x v="1"/>
    <n v="2151"/>
  </r>
  <r>
    <x v="197"/>
    <n v="110288.23420000001"/>
    <n v="107437.38099999999"/>
    <x v="195"/>
    <n v="35.034381893265568"/>
    <x v="197"/>
    <n v="2.5849114555866307E-2"/>
    <n v="0.90560775095298851"/>
    <n v="34.128774142312579"/>
    <x v="1"/>
    <n v="3148"/>
  </r>
  <r>
    <x v="198"/>
    <n v="156536.6862"/>
    <n v="164641.35399999999"/>
    <x v="196"/>
    <n v="32.442836518134712"/>
    <x v="198"/>
    <n v="-5.17748778049704E-2"/>
    <n v="-1.6797238963730621"/>
    <n v="34.122560414507774"/>
    <x v="0"/>
    <n v="4825"/>
  </r>
  <r>
    <x v="199"/>
    <n v="80823.059200000003"/>
    <n v="78844.860499999995"/>
    <x v="197"/>
    <n v="35.033835804074556"/>
    <x v="199"/>
    <n v="2.4475672160650015E-2"/>
    <n v="0.85747667967056884"/>
    <n v="34.176359124403987"/>
    <x v="1"/>
    <n v="2307"/>
  </r>
  <r>
    <x v="200"/>
    <n v="124615.6856"/>
    <n v="121612.1789"/>
    <x v="198"/>
    <n v="35.033929041326957"/>
    <x v="200"/>
    <n v="2.4102156045113458E-2"/>
    <n v="0.84439322462748834"/>
    <n v="34.189535816699468"/>
    <x v="1"/>
    <n v="3557"/>
  </r>
  <r>
    <x v="201"/>
    <n v="242758.95050000001"/>
    <n v="255779.85449999999"/>
    <x v="199"/>
    <n v="32.432725517702075"/>
    <x v="201"/>
    <n v="-5.3637173719780024E-2"/>
    <n v="-1.7395997327989292"/>
    <n v="34.172325250501004"/>
    <x v="0"/>
    <n v="7485"/>
  </r>
  <r>
    <x v="202"/>
    <n v="85078.243690000003"/>
    <n v="83020.514129999996"/>
    <x v="200"/>
    <n v="35.040462804777597"/>
    <x v="202"/>
    <n v="2.4186319213379225E-2"/>
    <n v="0.84749981878089642"/>
    <n v="34.192962985996701"/>
    <x v="1"/>
    <n v="2428"/>
  </r>
  <r>
    <x v="203"/>
    <n v="86738.067429999996"/>
    <n v="84643.271829999998"/>
    <x v="201"/>
    <n v="35.045683810101011"/>
    <x v="203"/>
    <n v="2.415082168726615E-2"/>
    <n v="0.8463820606060608"/>
    <n v="34.19930174949495"/>
    <x v="1"/>
    <n v="2475"/>
  </r>
  <r>
    <x v="204"/>
    <n v="56673.615810000003"/>
    <n v="55278.707829999999"/>
    <x v="202"/>
    <n v="35.026956619283069"/>
    <x v="204"/>
    <n v="2.4613004835909436E-2"/>
    <n v="0.86211865265760679"/>
    <n v="34.164837966625463"/>
    <x v="1"/>
    <n v="1618"/>
  </r>
  <r>
    <x v="205"/>
    <n v="165742.17050000001"/>
    <n v="173725.35750000001"/>
    <x v="203"/>
    <n v="32.460276243634944"/>
    <x v="205"/>
    <n v="-4.8166299354695644E-2"/>
    <n v="-1.5634913826870331"/>
    <n v="34.023767626321977"/>
    <x v="0"/>
    <n v="5106"/>
  </r>
  <r>
    <x v="206"/>
    <n v="95618.248800000001"/>
    <n v="92416.903839999999"/>
    <x v="204"/>
    <n v="35.037833931843167"/>
    <x v="206"/>
    <n v="3.3480480976974369E-2"/>
    <n v="1.1730835324294659"/>
    <n v="33.864750399413701"/>
    <x v="1"/>
    <n v="2729"/>
  </r>
  <r>
    <x v="207"/>
    <n v="515698.79580000002"/>
    <n v="538260.27179999999"/>
    <x v="205"/>
    <n v="32.440007284393282"/>
    <x v="207"/>
    <n v="-4.3749328452474867E-2"/>
    <n v="-1.4192285336855974"/>
    <n v="33.859235818078879"/>
    <x v="0"/>
    <n v="15897"/>
  </r>
  <r>
    <x v="208"/>
    <n v="562590.3665"/>
    <n v="586670.51410000003"/>
    <x v="206"/>
    <n v="32.43904552268927"/>
    <x v="208"/>
    <n v="-4.2802275036822955E-2"/>
    <n v="-1.3884649483941658"/>
    <n v="33.827510471083436"/>
    <x v="0"/>
    <n v="17343"/>
  </r>
  <r>
    <x v="209"/>
    <n v="266305.92589999997"/>
    <n v="277238.01040000003"/>
    <x v="207"/>
    <n v="32.448632374801996"/>
    <x v="209"/>
    <n v="-4.1050849556029563E-2"/>
    <n v="-1.3320439259169063"/>
    <n v="33.780676300718902"/>
    <x v="0"/>
    <n v="8207"/>
  </r>
  <r>
    <x v="210"/>
    <n v="292634.74570000003"/>
    <n v="304508.37900000002"/>
    <x v="208"/>
    <n v="32.450071601241966"/>
    <x v="210"/>
    <n v="-4.0574926506411729E-2"/>
    <n v="-1.3166592703481896"/>
    <n v="33.766730871590156"/>
    <x v="0"/>
    <n v="9018"/>
  </r>
  <r>
    <x v="211"/>
    <n v="212360.99309999999"/>
    <n v="221017.07310000001"/>
    <x v="209"/>
    <n v="32.431428390348195"/>
    <x v="211"/>
    <n v="-4.0761158033970492E-2"/>
    <n v="-1.3219425778863823"/>
    <n v="33.753370968234577"/>
    <x v="0"/>
    <n v="6548"/>
  </r>
  <r>
    <x v="212"/>
    <n v="198019.3321"/>
    <n v="205903.82490000001"/>
    <x v="210"/>
    <n v="32.451545739101931"/>
    <x v="212"/>
    <n v="-3.9816783121045619E-2"/>
    <n v="-1.2921161586365173"/>
    <n v="33.743661897738448"/>
    <x v="0"/>
    <n v="6102"/>
  </r>
  <r>
    <x v="213"/>
    <n v="295508.3273"/>
    <n v="307222.39539999998"/>
    <x v="211"/>
    <n v="32.444919554238034"/>
    <x v="213"/>
    <n v="-3.9640399331650152E-2"/>
    <n v="-1.286129567413262"/>
    <n v="33.731049121651296"/>
    <x v="0"/>
    <n v="9108"/>
  </r>
  <r>
    <x v="214"/>
    <n v="611894.67319999996"/>
    <n v="636341.31590000005"/>
    <x v="212"/>
    <n v="32.432006847935547"/>
    <x v="214"/>
    <n v="-3.9952370515259593E-2"/>
    <n v="-1.2957355541421549"/>
    <n v="33.727742402077702"/>
    <x v="0"/>
    <n v="18867"/>
  </r>
  <r>
    <x v="215"/>
    <n v="628685.21880000003"/>
    <n v="653779.96349999995"/>
    <x v="213"/>
    <n v="32.433203611225757"/>
    <x v="215"/>
    <n v="-3.9916231445522768E-2"/>
    <n v="-1.2946112618654482"/>
    <n v="33.727814873091205"/>
    <x v="0"/>
    <n v="19384"/>
  </r>
  <r>
    <x v="216"/>
    <n v="307272.68369999999"/>
    <n v="319500.00949999999"/>
    <x v="214"/>
    <n v="32.436681484218305"/>
    <x v="216"/>
    <n v="-3.9793077773024287E-2"/>
    <n v="-1.2907553890003172"/>
    <n v="33.727436873218622"/>
    <x v="0"/>
    <n v="9473"/>
  </r>
  <r>
    <x v="217"/>
    <n v="362106.53259999998"/>
    <n v="376645.75089999998"/>
    <x v="215"/>
    <n v="32.417773733213963"/>
    <x v="217"/>
    <n v="-4.0151770241772237E-2"/>
    <n v="-1.3016310026857667"/>
    <n v="33.71940473589973"/>
    <x v="0"/>
    <n v="11170"/>
  </r>
  <r>
    <x v="218"/>
    <n v="262349.59100000001"/>
    <n v="272809.2904"/>
    <x v="216"/>
    <n v="32.424866023977259"/>
    <x v="218"/>
    <n v="-3.986931849266722E-2"/>
    <n v="-1.292757310592016"/>
    <n v="33.717623334569275"/>
    <x v="0"/>
    <n v="8091"/>
  </r>
  <r>
    <x v="219"/>
    <n v="80697.9035"/>
    <n v="77649.636530000003"/>
    <x v="217"/>
    <n v="35.040340208423792"/>
    <x v="219"/>
    <n v="3.7773806230294409E-2"/>
    <n v="1.3236070212765938"/>
    <n v="33.716733187147199"/>
    <x v="1"/>
    <n v="2303"/>
  </r>
  <r>
    <x v="220"/>
    <n v="103272.62270000001"/>
    <n v="99367.233219999995"/>
    <x v="218"/>
    <n v="35.043305972175098"/>
    <x v="220"/>
    <n v="3.7816309665581992E-2"/>
    <n v="1.3252085103495119"/>
    <n v="33.718097461825586"/>
    <x v="1"/>
    <n v="2947"/>
  </r>
  <r>
    <x v="221"/>
    <n v="439421.42210000003"/>
    <n v="456509.62190000003"/>
    <x v="219"/>
    <n v="32.44878320041353"/>
    <x v="221"/>
    <n v="-3.888795343280102E-2"/>
    <n v="-1.2618667700487407"/>
    <n v="33.710649970462271"/>
    <x v="0"/>
    <n v="13542"/>
  </r>
  <r>
    <x v="222"/>
    <n v="408616.35060000001"/>
    <n v="424340.94939999998"/>
    <x v="220"/>
    <n v="32.460784127740709"/>
    <x v="222"/>
    <n v="-3.8482549161115182E-2"/>
    <n v="-1.2491737210041265"/>
    <n v="33.709957848744835"/>
    <x v="0"/>
    <n v="12588"/>
  </r>
  <r>
    <x v="223"/>
    <n v="195866.77299999999"/>
    <n v="203331.43479999999"/>
    <x v="221"/>
    <n v="32.471281996021219"/>
    <x v="223"/>
    <n v="-3.811091429989507E-2"/>
    <n v="-1.237510245358088"/>
    <n v="33.708792241379307"/>
    <x v="0"/>
    <n v="6032"/>
  </r>
  <r>
    <x v="224"/>
    <n v="232347.35320000001"/>
    <n v="241134.52780000001"/>
    <x v="222"/>
    <n v="32.459814640961163"/>
    <x v="224"/>
    <n v="-3.7819129329337238E-2"/>
    <n v="-1.2276019279128292"/>
    <n v="33.687416568873992"/>
    <x v="0"/>
    <n v="7158"/>
  </r>
  <r>
    <x v="225"/>
    <n v="190325.18109999999"/>
    <n v="197438.1116"/>
    <x v="223"/>
    <n v="32.462081033600541"/>
    <x v="225"/>
    <n v="-3.7372514025155533E-2"/>
    <n v="-1.2131895787139726"/>
    <n v="33.675270612314513"/>
    <x v="0"/>
    <n v="5863"/>
  </r>
  <r>
    <x v="226"/>
    <n v="197698.11859999999"/>
    <n v="205114.12890000001"/>
    <x v="224"/>
    <n v="32.452087754432043"/>
    <x v="226"/>
    <n v="-3.7511789957924382E-2"/>
    <n v="-1.2173358995403802"/>
    <n v="33.669423653972423"/>
    <x v="0"/>
    <n v="6092"/>
  </r>
  <r>
    <x v="227"/>
    <n v="177908.83559999999"/>
    <n v="184687.52910000001"/>
    <x v="225"/>
    <n v="32.435521531449403"/>
    <x v="227"/>
    <n v="-3.8102062087803486E-2"/>
    <n v="-1.2358602552415761"/>
    <n v="33.671381786690979"/>
    <x v="0"/>
    <n v="5485"/>
  </r>
  <r>
    <x v="228"/>
    <n v="473321.88250000001"/>
    <n v="491559.42300000001"/>
    <x v="226"/>
    <n v="32.448199252759309"/>
    <x v="228"/>
    <n v="-3.8530947277722792E-2"/>
    <n v="-1.25025985466511"/>
    <n v="33.698459107424419"/>
    <x v="0"/>
    <n v="14587"/>
  </r>
  <r>
    <x v="229"/>
    <n v="541600.8922"/>
    <n v="562953.37080000003"/>
    <x v="227"/>
    <n v="32.458401785928324"/>
    <x v="229"/>
    <n v="-3.9424747830945378E-2"/>
    <n v="-1.2796643054057313"/>
    <n v="33.738066091334055"/>
    <x v="0"/>
    <n v="16686"/>
  </r>
  <r>
    <x v="230"/>
    <n v="239513.97899999999"/>
    <n v="249203.1208"/>
    <x v="228"/>
    <n v="32.45446869918699"/>
    <x v="230"/>
    <n v="-4.0453345731440639E-2"/>
    <n v="-1.3128918428184306"/>
    <n v="33.76736054200542"/>
    <x v="0"/>
    <n v="7380"/>
  </r>
  <r>
    <x v="231"/>
    <n v="255224.22260000001"/>
    <n v="265532.54619999998"/>
    <x v="229"/>
    <n v="32.454758723296031"/>
    <x v="231"/>
    <n v="-4.0389283959758347E-2"/>
    <n v="-1.3108244659206534"/>
    <n v="33.765583189216684"/>
    <x v="0"/>
    <n v="7864"/>
  </r>
  <r>
    <x v="232"/>
    <n v="160372.03969999999"/>
    <n v="167021.15779999999"/>
    <x v="230"/>
    <n v="32.457405322809144"/>
    <x v="232"/>
    <n v="-4.1460581984479133E-2"/>
    <n v="-1.3457029143897969"/>
    <n v="33.803108237198941"/>
    <x v="0"/>
    <n v="4941"/>
  </r>
  <r>
    <x v="233"/>
    <n v="171587.33230000001"/>
    <n v="174723.17540000001"/>
    <x v="231"/>
    <n v="33.311460357212191"/>
    <x v="233"/>
    <n v="-1.8275493056313447E-2"/>
    <n v="-0.60878336245389164"/>
    <n v="33.920243719666082"/>
    <x v="0"/>
    <n v="5151"/>
  </r>
  <r>
    <x v="234"/>
    <n v="164208.0606"/>
    <n v="167239.6488"/>
    <x v="232"/>
    <n v="33.321440868506492"/>
    <x v="234"/>
    <n v="-1.8461872023351807E-2"/>
    <n v="-0.61517617694805438"/>
    <n v="33.936617045454547"/>
    <x v="0"/>
    <n v="4928"/>
  </r>
  <r>
    <x v="235"/>
    <n v="376778.8357"/>
    <n v="384006.0453"/>
    <x v="233"/>
    <n v="33.316724352285789"/>
    <x v="235"/>
    <n v="-1.9181569969483298E-2"/>
    <n v="-0.63906707931735696"/>
    <n v="33.955791431603146"/>
    <x v="0"/>
    <n v="11309"/>
  </r>
  <r>
    <x v="236"/>
    <n v="453633.47399999999"/>
    <n v="463250.07130000001"/>
    <x v="234"/>
    <n v="33.323549107470797"/>
    <x v="236"/>
    <n v="-2.1199046920421977E-2"/>
    <n v="-0.7064274810842619"/>
    <n v="34.029976588555058"/>
    <x v="0"/>
    <n v="13613"/>
  </r>
  <r>
    <x v="237"/>
    <n v="214392.40090000001"/>
    <n v="218347.7978"/>
    <x v="235"/>
    <n v="33.37366141033624"/>
    <x v="237"/>
    <n v="-1.8449333481017016E-2"/>
    <n v="-0.61572180884184036"/>
    <n v="33.98938321917808"/>
    <x v="0"/>
    <n v="6424"/>
  </r>
  <r>
    <x v="238"/>
    <n v="316404.06229999999"/>
    <n v="323293.39659999998"/>
    <x v="236"/>
    <n v="33.330249899926258"/>
    <x v="238"/>
    <n v="-2.1773849077411127E-2"/>
    <n v="-0.72572783103339589"/>
    <n v="34.055977730959654"/>
    <x v="0"/>
    <n v="9493"/>
  </r>
  <r>
    <x v="239"/>
    <n v="242824.5013"/>
    <n v="259860.51250000001"/>
    <x v="237"/>
    <n v="31.87091498884368"/>
    <x v="239"/>
    <n v="-7.0157711057965658E-2"/>
    <n v="-2.2359904449402848"/>
    <n v="34.106905433783965"/>
    <x v="0"/>
    <n v="7619"/>
  </r>
  <r>
    <x v="240"/>
    <n v="274712.25329999998"/>
    <n v="304334.78460000001"/>
    <x v="238"/>
    <n v="30.835363486362105"/>
    <x v="240"/>
    <n v="-0.10783112491036465"/>
    <n v="-3.3250119317544105"/>
    <n v="34.160375418116516"/>
    <x v="0"/>
    <n v="8909"/>
  </r>
  <r>
    <x v="241"/>
    <n v="258066.16940000001"/>
    <n v="287168.5661"/>
    <x v="239"/>
    <n v="30.722163023809525"/>
    <x v="241"/>
    <n v="-0.11277106475313142"/>
    <n v="-3.4645710357142825"/>
    <n v="34.186734059523808"/>
    <x v="0"/>
    <n v="8400"/>
  </r>
  <r>
    <x v="242"/>
    <n v="594007.2132"/>
    <n v="660937.80480000004"/>
    <x v="240"/>
    <n v="30.750489889734432"/>
    <x v="242"/>
    <n v="-0.11267639535795462"/>
    <n v="-3.4648543562664997"/>
    <n v="34.215344246000932"/>
    <x v="0"/>
    <n v="19317"/>
  </r>
  <r>
    <x v="243"/>
    <n v="717096.71279999998"/>
    <n v="797788.89199999999"/>
    <x v="241"/>
    <n v="30.763479742599742"/>
    <x v="243"/>
    <n v="-0.1125262154457892"/>
    <n v="-3.4616979493779496"/>
    <n v="34.225177691977692"/>
    <x v="0"/>
    <n v="23310"/>
  </r>
  <r>
    <x v="244"/>
    <n v="358170.9963"/>
    <n v="398562.60739999998"/>
    <x v="242"/>
    <n v="30.754851133436372"/>
    <x v="244"/>
    <n v="-0.11277186460449305"/>
    <n v="-3.4682819079512264"/>
    <n v="34.223133041387598"/>
    <x v="0"/>
    <n v="11646"/>
  </r>
  <r>
    <x v="245"/>
    <n v="594953.63489999995"/>
    <n v="662850.99080000003"/>
    <x v="243"/>
    <n v="30.721555039760403"/>
    <x v="245"/>
    <n v="-0.11412209610487092"/>
    <n v="-3.5060082567386175"/>
    <n v="34.227563296499021"/>
    <x v="0"/>
    <n v="19366"/>
  </r>
  <r>
    <x v="246"/>
    <n v="469469.94099999999"/>
    <n v="523480.30330000003"/>
    <x v="244"/>
    <n v="30.702370086979268"/>
    <x v="246"/>
    <n v="-0.11504541096913388"/>
    <n v="-3.5321667843829694"/>
    <n v="34.234536871362238"/>
    <x v="0"/>
    <n v="15291"/>
  </r>
  <r>
    <x v="247"/>
    <n v="464067.79930000001"/>
    <n v="517180.54330000002"/>
    <x v="245"/>
    <n v="30.732966841059604"/>
    <x v="247"/>
    <n v="-0.1144503972913339"/>
    <n v="-3.5174002649006617"/>
    <n v="34.250367105960265"/>
    <x v="0"/>
    <n v="15100"/>
  </r>
  <r>
    <x v="248"/>
    <n v="312311.95400000003"/>
    <n v="348177.12050000002"/>
    <x v="246"/>
    <n v="30.727268201495477"/>
    <x v="248"/>
    <n v="-0.11483763602593319"/>
    <n v="-3.5286468417945684"/>
    <n v="34.255915043290045"/>
    <x v="0"/>
    <n v="10164"/>
  </r>
  <r>
    <x v="249"/>
    <n v="501279.00040000002"/>
    <n v="558766.69030000002"/>
    <x v="247"/>
    <n v="30.734457412630288"/>
    <x v="249"/>
    <n v="-0.11468202309318201"/>
    <n v="-3.5246897547516873"/>
    <n v="34.259147167381975"/>
    <x v="0"/>
    <n v="16310"/>
  </r>
  <r>
    <x v="250"/>
    <n v="552703.90379999997"/>
    <n v="616169.85140000004"/>
    <x v="248"/>
    <n v="30.731381918265221"/>
    <x v="250"/>
    <n v="-0.11482811531391987"/>
    <n v="-3.5288266666666672"/>
    <n v="34.260208584931888"/>
    <x v="0"/>
    <n v="17985"/>
  </r>
  <r>
    <x v="251"/>
    <n v="234153.7622"/>
    <n v="261088.38639999999"/>
    <x v="249"/>
    <n v="30.728840183727034"/>
    <x v="251"/>
    <n v="-0.11502964525077355"/>
    <n v="-3.5347275853018338"/>
    <n v="34.263567769028867"/>
    <x v="0"/>
    <n v="7620"/>
  </r>
  <r>
    <x v="252"/>
    <n v="244481.49770000001"/>
    <n v="272633.39980000001"/>
    <x v="250"/>
    <n v="30.721474956019101"/>
    <x v="252"/>
    <n v="-0.11514941770581277"/>
    <n v="-3.5375599522493104"/>
    <n v="34.259034908268411"/>
    <x v="0"/>
    <n v="7958"/>
  </r>
  <r>
    <x v="253"/>
    <n v="122749.63529999999"/>
    <n v="120070.95020000001"/>
    <x v="251"/>
    <n v="35.041288980873539"/>
    <x v="253"/>
    <n v="2.1822346709652406E-2"/>
    <n v="0.76468315729374581"/>
    <n v="34.276605823579793"/>
    <x v="1"/>
    <n v="3503"/>
  </r>
  <r>
    <x v="254"/>
    <n v="78736.402839999995"/>
    <n v="77071.542709999994"/>
    <x v="252"/>
    <n v="35.040677721406318"/>
    <x v="254"/>
    <n v="2.1144731914958803E-2"/>
    <n v="0.74092573653760496"/>
    <n v="34.299751984868713"/>
    <x v="1"/>
    <n v="2247"/>
  </r>
  <r>
    <x v="255"/>
    <n v="70875.110669999995"/>
    <n v="69489.360849999997"/>
    <x v="253"/>
    <n v="35.03465678200692"/>
    <x v="255"/>
    <n v="1.9551995148933958E-2"/>
    <n v="0.68499743944637004"/>
    <n v="34.34965934256055"/>
    <x v="1"/>
    <n v="2023"/>
  </r>
  <r>
    <x v="256"/>
    <n v="148634.39139999999"/>
    <n v="145956.1397"/>
    <x v="254"/>
    <n v="35.038753276756246"/>
    <x v="256"/>
    <n v="1.8019057869267757E-2"/>
    <n v="0.63136532296086756"/>
    <n v="34.407387953795379"/>
    <x v="1"/>
    <n v="4242"/>
  </r>
  <r>
    <x v="257"/>
    <n v="171724.82879999999"/>
    <n v="168652.20360000001"/>
    <x v="255"/>
    <n v="35.038732666802694"/>
    <x v="257"/>
    <n v="1.7892725364592011E-2"/>
    <n v="0.62693842073046113"/>
    <n v="34.411794246072233"/>
    <x v="1"/>
    <n v="4901"/>
  </r>
  <r>
    <x v="258"/>
    <n v="86435.698829999994"/>
    <n v="84948.374580000003"/>
    <x v="256"/>
    <n v="35.036764827725982"/>
    <x v="258"/>
    <n v="1.7207291317505632E-2"/>
    <n v="0.60288781921362045"/>
    <n v="34.433877008512361"/>
    <x v="1"/>
    <n v="2467"/>
  </r>
  <r>
    <x v="259"/>
    <n v="120236.1827"/>
    <n v="118094.0432"/>
    <x v="257"/>
    <n v="35.033852768065266"/>
    <x v="259"/>
    <n v="1.7816097050792387E-2"/>
    <n v="0.62416652097901704"/>
    <n v="34.409686247086249"/>
    <x v="1"/>
    <n v="3432"/>
  </r>
  <r>
    <x v="260"/>
    <n v="83204.196689999997"/>
    <n v="81753.424589999995"/>
    <x v="258"/>
    <n v="35.033345974736839"/>
    <x v="260"/>
    <n v="1.7436285160053289E-2"/>
    <n v="0.61085141052631542"/>
    <n v="34.422494564210524"/>
    <x v="1"/>
    <n v="2375"/>
  </r>
  <r>
    <x v="261"/>
    <n v="73768.034729999999"/>
    <n v="72471.919320000001"/>
    <x v="259"/>
    <n v="35.04419702137767"/>
    <x v="261"/>
    <n v="1.757014965552409E-2"/>
    <n v="0.61573178622327873"/>
    <n v="34.428465235154391"/>
    <x v="1"/>
    <n v="2105"/>
  </r>
  <r>
    <x v="262"/>
    <n v="69425.445120000004"/>
    <n v="68280.383279999995"/>
    <x v="260"/>
    <n v="35.027974328960646"/>
    <x v="262"/>
    <n v="1.649340293059412E-2"/>
    <n v="0.57773049445005142"/>
    <n v="34.450243834510594"/>
    <x v="1"/>
    <n v="1982"/>
  </r>
  <r>
    <x v="263"/>
    <n v="137154.9541"/>
    <n v="135276.90960000001"/>
    <x v="261"/>
    <n v="35.033193895274586"/>
    <x v="263"/>
    <n v="1.3692866672761251E-2"/>
    <n v="0.47970485312898603"/>
    <n v="34.5534890421456"/>
    <x v="1"/>
    <n v="3915"/>
  </r>
  <r>
    <x v="264"/>
    <n v="153569.0619"/>
    <n v="151376.13560000001"/>
    <x v="262"/>
    <n v="35.037431416837784"/>
    <x v="264"/>
    <n v="1.427974015643832E-2"/>
    <n v="0.50032541638147165"/>
    <n v="34.537106000456312"/>
    <x v="1"/>
    <n v="4383"/>
  </r>
  <r>
    <x v="265"/>
    <n v="75633.320590000003"/>
    <n v="74546.668250000002"/>
    <x v="263"/>
    <n v="35.031644553033814"/>
    <x v="265"/>
    <n v="1.4367375801078794E-2"/>
    <n v="0.50331280222325603"/>
    <n v="34.528331750810558"/>
    <x v="1"/>
    <n v="2159"/>
  </r>
  <r>
    <x v="266"/>
    <n v="90815.929810000001"/>
    <n v="89653.637589999998"/>
    <x v="264"/>
    <n v="35.037009957561729"/>
    <x v="266"/>
    <n v="1.2798329791168638E-2"/>
    <n v="0.44841520833333703"/>
    <n v="34.588594749228392"/>
    <x v="1"/>
    <n v="2592"/>
  </r>
  <r>
    <x v="267"/>
    <n v="110118.15640000001"/>
    <n v="108880.409"/>
    <x v="265"/>
    <n v="35.03600267260579"/>
    <x v="267"/>
    <n v="1.1240175466649998E-2"/>
    <n v="0.39381081769010251"/>
    <n v="34.642191854915687"/>
    <x v="1"/>
    <n v="3143"/>
  </r>
  <r>
    <x v="268"/>
    <n v="209908.38310000001"/>
    <n v="223554.08660000001"/>
    <x v="266"/>
    <n v="32.508654653864028"/>
    <x v="268"/>
    <n v="-6.5007901535305584E-2"/>
    <n v="-2.1133194207836397"/>
    <n v="34.621974074647667"/>
    <x v="0"/>
    <n v="6457"/>
  </r>
  <r>
    <x v="269"/>
    <n v="358365.68300000002"/>
    <n v="382967.98320000002"/>
    <x v="267"/>
    <n v="32.463600235528581"/>
    <x v="269"/>
    <n v="-6.8651384234243204E-2"/>
    <n v="-2.2286710933961444"/>
    <n v="34.692271328924726"/>
    <x v="0"/>
    <n v="11039"/>
  </r>
  <r>
    <x v="270"/>
    <n v="585463.99600000004"/>
    <n v="625980.93019999994"/>
    <x v="268"/>
    <n v="32.460855843867819"/>
    <x v="270"/>
    <n v="-6.9204826388674978E-2"/>
    <n v="-2.2464478931026832"/>
    <n v="34.707303736970502"/>
    <x v="0"/>
    <n v="18036"/>
  </r>
  <r>
    <x v="271"/>
    <n v="617019.09149999998"/>
    <n v="661010.59129999997"/>
    <x v="269"/>
    <n v="32.445658700110428"/>
    <x v="271"/>
    <n v="-7.1296821129237284E-2"/>
    <n v="-2.3132723247620532"/>
    <n v="34.758931024872481"/>
    <x v="0"/>
    <n v="19017"/>
  </r>
  <r>
    <x v="272"/>
    <n v="283850.59710000001"/>
    <n v="304440.65149999998"/>
    <x v="270"/>
    <n v="32.451194363781873"/>
    <x v="272"/>
    <n v="-7.2538351549586946E-2"/>
    <n v="-2.3539561449639805"/>
    <n v="34.805150508745854"/>
    <x v="0"/>
    <n v="8747"/>
  </r>
  <r>
    <x v="273"/>
    <n v="264317.11040000001"/>
    <n v="283912.96870000003"/>
    <x v="271"/>
    <n v="32.443489677181788"/>
    <x v="273"/>
    <n v="-7.4137683596589524E-2"/>
    <n v="-2.4052851724561179"/>
    <n v="34.848774849637906"/>
    <x v="0"/>
    <n v="8147"/>
  </r>
  <r>
    <x v="274"/>
    <n v="358024.98129999998"/>
    <n v="384823.4399"/>
    <x v="272"/>
    <n v="32.441553216745199"/>
    <x v="274"/>
    <n v="-7.4850806507115689E-2"/>
    <n v="-2.4282764226168894"/>
    <n v="34.869829639362088"/>
    <x v="0"/>
    <n v="11036"/>
  </r>
  <r>
    <x v="275"/>
    <n v="594438.28079999995"/>
    <n v="639306.56880000001"/>
    <x v="273"/>
    <n v="32.429802553191486"/>
    <x v="275"/>
    <n v="-7.5480145625237902E-2"/>
    <n v="-2.4478062193126036"/>
    <n v="34.87760877250409"/>
    <x v="0"/>
    <n v="18330"/>
  </r>
  <r>
    <x v="276"/>
    <n v="470507.663"/>
    <n v="506072.03330000001"/>
    <x v="274"/>
    <n v="32.442092187823206"/>
    <x v="276"/>
    <n v="-7.5587228639887233E-2"/>
    <n v="-2.4522078397572926"/>
    <n v="34.894300027580499"/>
    <x v="0"/>
    <n v="14503"/>
  </r>
  <r>
    <x v="277"/>
    <n v="518693.52870000002"/>
    <n v="557939.36930000002"/>
    <x v="275"/>
    <n v="32.446736438133371"/>
    <x v="277"/>
    <n v="-7.5662869167390082E-2"/>
    <n v="-2.4550131740272718"/>
    <n v="34.901749612160643"/>
    <x v="0"/>
    <n v="15986"/>
  </r>
  <r>
    <x v="278"/>
    <n v="656245.8284"/>
    <n v="705891.3003"/>
    <x v="276"/>
    <n v="32.450468694061215"/>
    <x v="278"/>
    <n v="-7.5650723785995203E-2"/>
    <n v="-2.4549014439005106"/>
    <n v="34.905370137961725"/>
    <x v="0"/>
    <n v="20223"/>
  </r>
  <r>
    <x v="279"/>
    <n v="280055.1177"/>
    <n v="301279.65500000003"/>
    <x v="277"/>
    <n v="32.447586339937438"/>
    <x v="279"/>
    <n v="-7.5787000338755198E-2"/>
    <n v="-2.4591052369366224"/>
    <n v="34.90669157687406"/>
    <x v="0"/>
    <n v="8631"/>
  </r>
  <r>
    <x v="280"/>
    <n v="375648.01750000002"/>
    <n v="404178.92109999998"/>
    <x v="278"/>
    <n v="32.442181319630365"/>
    <x v="280"/>
    <n v="-7.5951162446904058E-2"/>
    <n v="-2.464021383539162"/>
    <n v="34.906202703169527"/>
    <x v="0"/>
    <n v="11579"/>
  </r>
  <r>
    <x v="281"/>
    <n v="78111.716459999996"/>
    <n v="74251.874729999996"/>
    <x v="279"/>
    <n v="36.723891142454157"/>
    <x v="281"/>
    <n v="4.9414376036360376E-2"/>
    <n v="1.8146881664315941"/>
    <n v="34.909202976022563"/>
    <x v="1"/>
    <n v="2127"/>
  </r>
  <r>
    <x v="282"/>
    <n v="70509.132790000003"/>
    <n v="67141.979630000002"/>
    <x v="280"/>
    <n v="36.66621569942798"/>
    <x v="282"/>
    <n v="4.7754851418021556E-2"/>
    <n v="1.7509896827873135"/>
    <n v="34.915226016640666"/>
    <x v="1"/>
    <n v="1923"/>
  </r>
  <r>
    <x v="283"/>
    <n v="103281.311"/>
    <n v="98065.939079999996"/>
    <x v="115"/>
    <n v="36.767999644001428"/>
    <x v="283"/>
    <n v="5.0496763349566751E-2"/>
    <n v="1.8566649768600954"/>
    <n v="34.911334667141332"/>
    <x v="1"/>
    <n v="2809"/>
  </r>
  <r>
    <x v="284"/>
    <n v="179841.43179999999"/>
    <n v="170757.58119999999"/>
    <x v="281"/>
    <n v="36.769869515436511"/>
    <x v="284"/>
    <n v="5.0510332958770436E-2"/>
    <n v="1.8572583520752417"/>
    <n v="34.912611163361269"/>
    <x v="1"/>
    <n v="4891"/>
  </r>
  <r>
    <x v="285"/>
    <n v="138038.23980000001"/>
    <n v="131192.3168"/>
    <x v="282"/>
    <n v="36.731836029803091"/>
    <x v="285"/>
    <n v="4.9594395074284404E-2"/>
    <n v="1.8216931878658897"/>
    <n v="34.910142841937201"/>
    <x v="1"/>
    <n v="3758"/>
  </r>
  <r>
    <x v="286"/>
    <n v="61037.562230000003"/>
    <n v="57992.341509999998"/>
    <x v="283"/>
    <n v="36.747478765803734"/>
    <x v="286"/>
    <n v="4.9890929597173145E-2"/>
    <n v="1.8333658759783305"/>
    <n v="34.914112889825404"/>
    <x v="1"/>
    <n v="1661"/>
  </r>
  <r>
    <x v="287"/>
    <n v="86799.759449999998"/>
    <n v="82392.333259999999"/>
    <x v="284"/>
    <n v="36.779559088983049"/>
    <x v="287"/>
    <n v="5.0776940142775916E-2"/>
    <n v="1.8675534703389829"/>
    <n v="34.912005618644066"/>
    <x v="1"/>
    <n v="2360"/>
  </r>
  <r>
    <x v="288"/>
    <n v="69570.501470000003"/>
    <n v="66313.940979999999"/>
    <x v="285"/>
    <n v="36.73204935058078"/>
    <x v="288"/>
    <n v="4.6809501458089799E-2"/>
    <n v="1.7194089176346381"/>
    <n v="35.012640432946142"/>
    <x v="1"/>
    <n v="1894"/>
  </r>
  <r>
    <x v="289"/>
    <n v="130476.3553"/>
    <n v="124398.4316"/>
    <x v="286"/>
    <n v="36.77462099774521"/>
    <x v="289"/>
    <n v="4.6582568052466126E-2"/>
    <n v="1.7130562852311186"/>
    <n v="35.061564712514091"/>
    <x v="1"/>
    <n v="3548"/>
  </r>
  <r>
    <x v="290"/>
    <n v="95229.773480000003"/>
    <n v="91087.851339999994"/>
    <x v="287"/>
    <n v="36.754061551524508"/>
    <x v="290"/>
    <n v="4.34939829072458E-2"/>
    <n v="1.5985805248938689"/>
    <n v="35.155481026630639"/>
    <x v="1"/>
    <n v="2591"/>
  </r>
  <r>
    <x v="291"/>
    <n v="121057.8613"/>
    <n v="116949.7913"/>
    <x v="288"/>
    <n v="36.76218077740662"/>
    <x v="291"/>
    <n v="3.3934764383616339E-2"/>
    <n v="1.2475159429092031"/>
    <n v="35.514664834497417"/>
    <x v="1"/>
    <n v="3293"/>
  </r>
  <r>
    <x v="292"/>
    <n v="169498.91639999999"/>
    <n v="164492.9466"/>
    <x v="289"/>
    <n v="36.759686922576442"/>
    <x v="292"/>
    <n v="2.9533933940830738E-2"/>
    <n v="1.0856581652569872"/>
    <n v="35.674028757319455"/>
    <x v="1"/>
    <n v="4611"/>
  </r>
  <r>
    <x v="293"/>
    <n v="90692.375880000007"/>
    <n v="87911.211580000003"/>
    <x v="290"/>
    <n v="36.747315996758509"/>
    <x v="293"/>
    <n v="3.0665910701026436E-2"/>
    <n v="1.126889910858992"/>
    <n v="35.620426085899517"/>
    <x v="1"/>
    <n v="2468"/>
  </r>
  <r>
    <x v="294"/>
    <n v="101723.91499999999"/>
    <n v="98870.811879999994"/>
    <x v="291"/>
    <n v="36.68370537324197"/>
    <x v="294"/>
    <n v="2.8047515866844095E-2"/>
    <n v="1.0288868085106344"/>
    <n v="35.654818564731336"/>
    <x v="1"/>
    <n v="2773"/>
  </r>
  <r>
    <x v="295"/>
    <n v="103395.69130000001"/>
    <n v="100424.1557"/>
    <x v="292"/>
    <n v="36.730263339254002"/>
    <x v="295"/>
    <n v="2.8739452898266009E-2"/>
    <n v="1.0556076731794022"/>
    <n v="35.674655666074599"/>
    <x v="1"/>
    <n v="2815"/>
  </r>
  <r>
    <x v="296"/>
    <n v="99075.599100000007"/>
    <n v="96511.722160000005"/>
    <x v="293"/>
    <n v="36.681080747871164"/>
    <x v="296"/>
    <n v="2.5877985733017906E-2"/>
    <n v="0.94923248426508877"/>
    <n v="35.731848263606075"/>
    <x v="1"/>
    <n v="2701"/>
  </r>
  <r>
    <x v="297"/>
    <n v="97476.144719999997"/>
    <n v="94763.842550000001"/>
    <x v="294"/>
    <n v="36.769575526216521"/>
    <x v="297"/>
    <n v="2.7825291796173077E-2"/>
    <n v="1.0231241682383967"/>
    <n v="35.746451357978124"/>
    <x v="1"/>
    <n v="2651"/>
  </r>
  <r>
    <x v="298"/>
    <n v="248974.65280000001"/>
    <n v="241961.14319999999"/>
    <x v="295"/>
    <n v="36.716509777318983"/>
    <x v="298"/>
    <n v="2.816957277026081E-2"/>
    <n v="1.0342883940421785"/>
    <n v="35.682221383276804"/>
    <x v="1"/>
    <n v="6781"/>
  </r>
  <r>
    <x v="299"/>
    <n v="302721.68329999998"/>
    <n v="294129.67109999998"/>
    <x v="296"/>
    <n v="36.69798561037701"/>
    <x v="299"/>
    <n v="2.8382546325514561E-2"/>
    <n v="1.0415822766395877"/>
    <n v="35.656403333737423"/>
    <x v="1"/>
    <n v="8249"/>
  </r>
  <r>
    <x v="300"/>
    <n v="128520.72779999999"/>
    <n v="124739.23390000001"/>
    <x v="297"/>
    <n v="36.699236950314102"/>
    <x v="300"/>
    <n v="2.942322195595275E-2"/>
    <n v="1.0798097944031895"/>
    <n v="35.619427155910913"/>
    <x v="1"/>
    <n v="3502"/>
  </r>
  <r>
    <x v="301"/>
    <n v="145185.2683"/>
    <n v="140651.93719999999"/>
    <x v="298"/>
    <n v="36.765071739680934"/>
    <x v="301"/>
    <n v="3.1224456538060552E-2"/>
    <n v="1.1479693846543455"/>
    <n v="35.617102355026589"/>
    <x v="1"/>
    <n v="3949"/>
  </r>
  <r>
    <x v="302"/>
    <n v="89527.556630000006"/>
    <n v="87067.051319999999"/>
    <x v="299"/>
    <n v="36.766963708418892"/>
    <x v="302"/>
    <n v="2.7483217487647944E-2"/>
    <n v="1.0104744599589353"/>
    <n v="35.756489248459957"/>
    <x v="1"/>
    <n v="2435"/>
  </r>
  <r>
    <x v="303"/>
    <n v="81991.882840000006"/>
    <n v="80112.548009999999"/>
    <x v="300"/>
    <n v="36.734714534050184"/>
    <x v="303"/>
    <n v="2.2920986381875931E-2"/>
    <n v="0.84199589157706356"/>
    <n v="35.89271864247312"/>
    <x v="1"/>
    <n v="2232"/>
  </r>
  <r>
    <x v="304"/>
    <n v="69704.491110000003"/>
    <n v="68293.096390000006"/>
    <x v="301"/>
    <n v="36.725232407797684"/>
    <x v="304"/>
    <n v="2.0248260872784911E-2"/>
    <n v="0.7436220864067451"/>
    <n v="35.981610321390939"/>
    <x v="1"/>
    <n v="1898"/>
  </r>
  <r>
    <x v="305"/>
    <n v="166652.39480000001"/>
    <n v="163319.71650000001"/>
    <x v="302"/>
    <n v="36.731848093453827"/>
    <x v="305"/>
    <n v="1.9997782234090041E-2"/>
    <n v="0.73455549922856278"/>
    <n v="35.997292594225264"/>
    <x v="1"/>
    <n v="4537"/>
  </r>
  <r>
    <x v="306"/>
    <n v="247453.10219999999"/>
    <n v="242638.80119999999"/>
    <x v="303"/>
    <n v="36.768663031203566"/>
    <x v="306"/>
    <n v="1.9455407740691509E-2"/>
    <n v="0.71534933135215795"/>
    <n v="36.053313699851408"/>
    <x v="1"/>
    <n v="6730"/>
  </r>
  <r>
    <x v="307"/>
    <n v="148476.18119999999"/>
    <n v="145646.33679999999"/>
    <x v="304"/>
    <n v="36.769732838038628"/>
    <x v="307"/>
    <n v="1.9059248272207056E-2"/>
    <n v="0.70080346706289731"/>
    <n v="36.068929370975731"/>
    <x v="1"/>
    <n v="4038"/>
  </r>
  <r>
    <x v="308"/>
    <n v="205368.92259999999"/>
    <n v="201281.239"/>
    <x v="305"/>
    <n v="36.7978718150869"/>
    <x v="308"/>
    <n v="1.9904100134768829E-2"/>
    <n v="0.7324285253538747"/>
    <n v="36.065443289733025"/>
    <x v="1"/>
    <n v="5581"/>
  </r>
  <r>
    <x v="309"/>
    <n v="99244.681849999994"/>
    <n v="90949.442249999993"/>
    <x v="306"/>
    <n v="39.398444561333861"/>
    <x v="309"/>
    <n v="8.3583719000052403E-2"/>
    <n v="3.2930685192536728"/>
    <n v="36.105376042080188"/>
    <x v="1"/>
    <n v="2519"/>
  </r>
  <r>
    <x v="310"/>
    <n v="72756.863100000002"/>
    <n v="67872.77433"/>
    <x v="307"/>
    <n v="39.391912885760696"/>
    <x v="310"/>
    <n v="6.7128908008129914E-2"/>
    <n v="2.6443360963724984"/>
    <n v="36.747576789388198"/>
    <x v="1"/>
    <n v="1847"/>
  </r>
  <r>
    <x v="311"/>
    <n v="86867.458079999997"/>
    <n v="84486.086089999997"/>
    <x v="308"/>
    <n v="37.621246461671717"/>
    <x v="311"/>
    <n v="2.7413856035788352E-2"/>
    <n v="1.0313434343871819"/>
    <n v="36.589903027284535"/>
    <x v="1"/>
    <n v="2309"/>
  </r>
  <r>
    <x v="312"/>
    <n v="140167.8039"/>
    <n v="136539.20329999999"/>
    <x v="309"/>
    <n v="37.659270257925847"/>
    <x v="312"/>
    <n v="2.5887546919039696E-2"/>
    <n v="0.97490612573885471"/>
    <n v="36.684364132186992"/>
    <x v="1"/>
    <n v="3722"/>
  </r>
  <r>
    <x v="313"/>
    <n v="160727.3028"/>
    <n v="156700.82500000001"/>
    <x v="310"/>
    <n v="37.658693252108719"/>
    <x v="313"/>
    <n v="2.5051610584234808E-2"/>
    <n v="0.94341091846298042"/>
    <n v="36.715282333645739"/>
    <x v="1"/>
    <n v="4268"/>
  </r>
  <r>
    <x v="314"/>
    <n v="74115.628779999999"/>
    <n v="71994.346390000006"/>
    <x v="311"/>
    <n v="37.660380477642278"/>
    <x v="314"/>
    <n v="2.862125606863121E-2"/>
    <n v="1.0778873932926842"/>
    <n v="36.582493084349593"/>
    <x v="1"/>
    <n v="1968"/>
  </r>
  <r>
    <x v="315"/>
    <n v="76103.291519999999"/>
    <n v="73967.605689999997"/>
    <x v="312"/>
    <n v="37.749648571428573"/>
    <x v="315"/>
    <n v="2.8062988963345199E-2"/>
    <n v="1.0593679712301594"/>
    <n v="36.690280600198413"/>
    <x v="1"/>
    <n v="2016"/>
  </r>
  <r>
    <x v="316"/>
    <n v="56303.366569999998"/>
    <n v="54996.866609999997"/>
    <x v="313"/>
    <n v="37.610799311957244"/>
    <x v="316"/>
    <n v="2.3204650797846615E-2"/>
    <n v="0.87274546426185395"/>
    <n v="36.73805384769539"/>
    <x v="1"/>
    <n v="1497"/>
  </r>
  <r>
    <x v="317"/>
    <n v="49436.815860000002"/>
    <n v="48289.89228"/>
    <x v="314"/>
    <n v="37.623147534246577"/>
    <x v="317"/>
    <n v="2.3199786637714947E-2"/>
    <n v="0.87284899543379169"/>
    <n v="36.750298538812785"/>
    <x v="1"/>
    <n v="1314"/>
  </r>
  <r>
    <x v="318"/>
    <n v="55033.1224"/>
    <n v="53997.218869999997"/>
    <x v="315"/>
    <n v="37.539646930422919"/>
    <x v="318"/>
    <n v="1.8823273781754444E-2"/>
    <n v="0.70661905184174856"/>
    <n v="36.83302787858117"/>
    <x v="1"/>
    <n v="1466"/>
  </r>
  <r>
    <x v="319"/>
    <n v="149808.16589999999"/>
    <n v="146994.89550000001"/>
    <x v="316"/>
    <n v="37.602451280120484"/>
    <x v="319"/>
    <n v="1.8779152545515407E-2"/>
    <n v="0.70614216867469537"/>
    <n v="36.896309111445788"/>
    <x v="1"/>
    <n v="3984"/>
  </r>
  <r>
    <x v="320"/>
    <n v="180685.51070000001"/>
    <n v="176898.27780000001"/>
    <x v="317"/>
    <n v="37.627136755518535"/>
    <x v="320"/>
    <n v="2.0960357503641284E-2"/>
    <n v="0.78867823823406979"/>
    <n v="36.838458517284465"/>
    <x v="1"/>
    <n v="4802"/>
  </r>
  <r>
    <x v="321"/>
    <n v="75871.43677"/>
    <n v="73905.810159999994"/>
    <x v="318"/>
    <n v="37.615982533465541"/>
    <x v="321"/>
    <n v="2.5907333427185427E-2"/>
    <n v="0.97452980168567649"/>
    <n v="36.641452731779864"/>
    <x v="1"/>
    <n v="2017"/>
  </r>
  <r>
    <x v="322"/>
    <n v="86313.334080000001"/>
    <n v="84418.789109999998"/>
    <x v="319"/>
    <n v="37.576549447104917"/>
    <x v="322"/>
    <n v="2.1949620996496704E-2"/>
    <n v="0.82479101872007021"/>
    <n v="36.751758428384846"/>
    <x v="1"/>
    <n v="2297"/>
  </r>
  <r>
    <x v="323"/>
    <n v="62631.798750000002"/>
    <n v="61158.361089999999"/>
    <x v="320"/>
    <n v="37.616695945945949"/>
    <x v="323"/>
    <n v="2.3525392682419217E-2"/>
    <n v="0.88494754354354654"/>
    <n v="36.731748402402403"/>
    <x v="1"/>
    <n v="1665"/>
  </r>
  <r>
    <x v="324"/>
    <n v="48529.103360000001"/>
    <n v="47409.554060000002"/>
    <x v="321"/>
    <n v="37.590320185902399"/>
    <x v="324"/>
    <n v="2.3069647335021332E-2"/>
    <n v="0.86719542989929721"/>
    <n v="36.723124756003102"/>
    <x v="1"/>
    <n v="1291"/>
  </r>
  <r>
    <x v="325"/>
    <n v="51040.881370000003"/>
    <n v="50038.142630000002"/>
    <x v="322"/>
    <n v="37.502484474650991"/>
    <x v="325"/>
    <n v="1.9645795940141708E-2"/>
    <n v="0.73676615723732652"/>
    <n v="36.765718317413665"/>
    <x v="1"/>
    <n v="1361"/>
  </r>
  <r>
    <x v="326"/>
    <n v="53973.92224"/>
    <n v="47192.49828"/>
    <x v="323"/>
    <n v="42.134209398907103"/>
    <x v="326"/>
    <n v="0.12564260069605052"/>
    <n v="5.2938516471506603"/>
    <n v="36.840357751756443"/>
    <x v="1"/>
    <n v="1281"/>
  </r>
  <r>
    <x v="327"/>
    <n v="47497.982530000001"/>
    <n v="41179.088250000001"/>
    <x v="324"/>
    <n v="42.33331776292335"/>
    <x v="327"/>
    <n v="0.13303500366587045"/>
    <n v="5.6318130837789653"/>
    <n v="36.701504679144385"/>
    <x v="1"/>
    <n v="1122"/>
  </r>
  <r>
    <x v="328"/>
    <n v="31219.951529999998"/>
    <n v="26893.304680000001"/>
    <x v="325"/>
    <n v="42.360856892808684"/>
    <x v="328"/>
    <n v="0.13858595667076609"/>
    <n v="5.870619877883307"/>
    <n v="36.490237014925377"/>
    <x v="1"/>
    <n v="737"/>
  </r>
  <r>
    <x v="329"/>
    <n v="26870.32387"/>
    <n v="23516.041720000001"/>
    <x v="326"/>
    <n v="41.919382012480497"/>
    <x v="329"/>
    <n v="0.12483221885334124"/>
    <n v="5.2328894695787795"/>
    <n v="36.686492542901718"/>
    <x v="1"/>
    <n v="641"/>
  </r>
  <r>
    <x v="330"/>
    <n v="40530.642290000003"/>
    <n v="35674.190759999998"/>
    <x v="327"/>
    <n v="41.870498233471075"/>
    <x v="330"/>
    <n v="0.11982172636820568"/>
    <n v="5.0169953822314071"/>
    <n v="36.853502851239668"/>
    <x v="1"/>
    <n v="968"/>
  </r>
  <r>
    <x v="331"/>
    <n v="30371.431339999999"/>
    <n v="26054.849170000001"/>
    <x v="328"/>
    <n v="42.836997658674186"/>
    <x v="331"/>
    <n v="0.14212639903852481"/>
    <n v="6.0882682228490808"/>
    <n v="36.748729435825105"/>
    <x v="1"/>
    <n v="709"/>
  </r>
  <r>
    <x v="332"/>
    <n v="37776.658770000002"/>
    <n v="32719.689640000001"/>
    <x v="329"/>
    <n v="42.928021329545459"/>
    <x v="332"/>
    <n v="0.13386491274384352"/>
    <n v="5.7465558295454571"/>
    <n v="37.181465500000002"/>
    <x v="1"/>
    <n v="880"/>
  </r>
  <r>
    <x v="333"/>
    <n v="46818.205320000001"/>
    <n v="40652.576410000001"/>
    <x v="330"/>
    <n v="42.717340620437959"/>
    <x v="333"/>
    <n v="0.13169297857229353"/>
    <n v="5.625573822992699"/>
    <n v="37.09176679744526"/>
    <x v="1"/>
    <n v="1096"/>
  </r>
  <r>
    <x v="334"/>
    <n v="88321.625549999997"/>
    <n v="79880.24368"/>
    <x v="331"/>
    <n v="42.708716416827855"/>
    <x v="334"/>
    <n v="9.5575481287096822E-2"/>
    <n v="4.0819061266924592"/>
    <n v="38.626810290135396"/>
    <x v="1"/>
    <n v="2068"/>
  </r>
  <r>
    <x v="335"/>
    <n v="101037.8278"/>
    <n v="93177.884699999995"/>
    <x v="258"/>
    <n v="42.542243284210528"/>
    <x v="335"/>
    <n v="7.7792083135025628E-2"/>
    <n v="3.3094497263157905"/>
    <n v="39.232793557894738"/>
    <x v="1"/>
    <n v="2375"/>
  </r>
  <r>
    <x v="336"/>
    <n v="105100.6676"/>
    <n v="97257.394669999994"/>
    <x v="332"/>
    <n v="42.175227768860353"/>
    <x v="336"/>
    <n v="7.4626290290091421E-2"/>
    <n v="3.1473807905296951"/>
    <n v="39.027846978330658"/>
    <x v="1"/>
    <n v="2492"/>
  </r>
  <r>
    <x v="337"/>
    <n v="88219.52549"/>
    <n v="85533.428920000006"/>
    <x v="333"/>
    <n v="40.654159211981565"/>
    <x v="337"/>
    <n v="3.0447869165930539E-2"/>
    <n v="1.2378325207373209"/>
    <n v="39.416326691244244"/>
    <x v="1"/>
    <n v="2170"/>
  </r>
  <r>
    <x v="338"/>
    <n v="71590.369290000002"/>
    <n v="69654.930309999996"/>
    <x v="334"/>
    <n v="40.12913076793722"/>
    <x v="338"/>
    <n v="2.7034907057957518E-2"/>
    <n v="1.0848873206278071"/>
    <n v="39.044243447309412"/>
    <x v="1"/>
    <n v="1784"/>
  </r>
  <r>
    <x v="339"/>
    <n v="54996.62169"/>
    <n v="54503.028550000003"/>
    <x v="335"/>
    <n v="40.202208837719297"/>
    <x v="339"/>
    <n v="8.9749720043212564E-3"/>
    <n v="0.36081369883040537"/>
    <n v="39.841395138888892"/>
    <x v="1"/>
    <n v="1368"/>
  </r>
  <r>
    <x v="340"/>
    <n v="77884.18161"/>
    <n v="77619.294890000005"/>
    <x v="336"/>
    <n v="40.691839921630091"/>
    <x v="340"/>
    <n v="3.4010336184361295E-3"/>
    <n v="0.13839431556948512"/>
    <n v="40.553445606060606"/>
    <x v="1"/>
    <n v="1914"/>
  </r>
  <r>
    <x v="341"/>
    <n v="150370.11670000001"/>
    <n v="154998.8346"/>
    <x v="337"/>
    <n v="39.9389420185923"/>
    <x v="341"/>
    <n v="-3.0782166041904709E-2"/>
    <n v="-1.2294071447543118"/>
    <n v="41.168349163346612"/>
    <x v="0"/>
    <n v="3765"/>
  </r>
  <r>
    <x v="342"/>
    <n v="104675.37609999999"/>
    <n v="111903.73789999999"/>
    <x v="338"/>
    <n v="38.59711508112094"/>
    <x v="342"/>
    <n v="-6.9055035379997062E-2"/>
    <n v="-2.6653251474926236"/>
    <n v="41.262440228613563"/>
    <x v="0"/>
    <n v="2712"/>
  </r>
  <r>
    <x v="343"/>
    <n v="90121.530480000001"/>
    <n v="91081.668189999997"/>
    <x v="339"/>
    <n v="40.55874459045905"/>
    <x v="343"/>
    <n v="-1.0653810525477835E-2"/>
    <n v="-0.43210518001799869"/>
    <n v="40.990849770477048"/>
    <x v="0"/>
    <n v="2222"/>
  </r>
  <r>
    <x v="344"/>
    <n v="75425.443700000003"/>
    <n v="77014.255959999995"/>
    <x v="340"/>
    <n v="40.529523750671686"/>
    <x v="344"/>
    <n v="-2.1064672371294137E-2"/>
    <n v="-0.85374113917248451"/>
    <n v="41.38326488984417"/>
    <x v="0"/>
    <n v="1861"/>
  </r>
  <r>
    <x v="345"/>
    <n v="161844.8094"/>
    <n v="169348.51860000001"/>
    <x v="341"/>
    <n v="39.522541978021977"/>
    <x v="345"/>
    <n v="-4.6363607383012012E-2"/>
    <n v="-1.8324076190476219"/>
    <n v="41.354949597069599"/>
    <x v="0"/>
    <n v="4095"/>
  </r>
  <r>
    <x v="346"/>
    <n v="158603.35699999999"/>
    <n v="171692.99359999999"/>
    <x v="342"/>
    <n v="38.153321385614625"/>
    <x v="346"/>
    <n v="-8.2530640256246277E-2"/>
    <n v="-3.1488180418571048"/>
    <n v="41.30213942747173"/>
    <x v="0"/>
    <n v="4157"/>
  </r>
  <r>
    <x v="347"/>
    <n v="279092.09600000002"/>
    <n v="301236.10989999998"/>
    <x v="343"/>
    <n v="38.447733296597328"/>
    <x v="347"/>
    <n v="-7.9343034852552619E-2"/>
    <n v="-3.0505598429535752"/>
    <n v="41.498293139550903"/>
    <x v="0"/>
    <n v="7259"/>
  </r>
  <r>
    <x v="348"/>
    <n v="369350.98950000003"/>
    <n v="402564.67859999998"/>
    <x v="344"/>
    <n v="38.258855344934744"/>
    <x v="348"/>
    <n v="-8.992446221671746E-2"/>
    <n v="-3.4404069919204403"/>
    <n v="41.699262336855185"/>
    <x v="0"/>
    <n v="9654"/>
  </r>
  <r>
    <x v="349"/>
    <n v="177500.10769999999"/>
    <n v="192327.32070000001"/>
    <x v="345"/>
    <n v="38.320403216753022"/>
    <x v="349"/>
    <n v="-8.3533543681337266E-2"/>
    <n v="-3.2010390759930942"/>
    <n v="41.521442292746116"/>
    <x v="0"/>
    <n v="4632"/>
  </r>
  <r>
    <x v="350"/>
    <n v="282246.6287"/>
    <n v="304489.63829999999"/>
    <x v="346"/>
    <n v="38.447981024383601"/>
    <x v="350"/>
    <n v="-7.880699834201417E-2"/>
    <n v="-3.0299699768423878"/>
    <n v="41.477951001225989"/>
    <x v="0"/>
    <n v="7341"/>
  </r>
  <r>
    <x v="351"/>
    <n v="166037.92569999999"/>
    <n v="179571.12909999999"/>
    <x v="347"/>
    <n v="38.541765482822655"/>
    <x v="351"/>
    <n v="-8.150670000811748E-2"/>
    <n v="-3.1414121169916456"/>
    <n v="41.6831775998143"/>
    <x v="0"/>
    <n v="4308"/>
  </r>
  <r>
    <x v="352"/>
    <n v="148910.99840000001"/>
    <n v="161137.522"/>
    <x v="348"/>
    <n v="38.52807203104787"/>
    <x v="352"/>
    <n v="-8.2106249581091958E-2"/>
    <n v="-3.1633954980595007"/>
    <n v="41.691467529107371"/>
    <x v="0"/>
    <n v="3865"/>
  </r>
  <r>
    <x v="353"/>
    <n v="202359.14290000001"/>
    <n v="221435.76860000001"/>
    <x v="349"/>
    <n v="38.267614012859305"/>
    <x v="353"/>
    <n v="-9.4271133128030274E-2"/>
    <n v="-3.6075313350983365"/>
    <n v="41.875145347957641"/>
    <x v="0"/>
    <n v="5288"/>
  </r>
  <r>
    <x v="354"/>
    <n v="274343.65429999999"/>
    <n v="299516.83779999998"/>
    <x v="350"/>
    <n v="38.418100308080099"/>
    <x v="354"/>
    <n v="-9.1757848615928367E-2"/>
    <n v="-3.5251622321803637"/>
    <n v="41.943262540260463"/>
    <x v="0"/>
    <n v="7141"/>
  </r>
  <r>
    <x v="355"/>
    <n v="316167.0747"/>
    <n v="346378.30479999998"/>
    <x v="351"/>
    <n v="38.239849383164007"/>
    <x v="355"/>
    <n v="-9.5554637144510943E-2"/>
    <n v="-3.6539949322689864"/>
    <n v="41.893844315432993"/>
    <x v="0"/>
    <n v="8268"/>
  </r>
  <r>
    <x v="356"/>
    <n v="173833.4001"/>
    <n v="190644.50159999999"/>
    <x v="352"/>
    <n v="38.280863268002641"/>
    <x v="356"/>
    <n v="-9.6708121053429186E-2"/>
    <n v="-3.7020703589517723"/>
    <n v="41.982933626954413"/>
    <x v="0"/>
    <n v="4541"/>
  </r>
  <r>
    <x v="357"/>
    <n v="204565.08180000001"/>
    <n v="210188.9094"/>
    <x v="353"/>
    <n v="40.798779776625452"/>
    <x v="357"/>
    <n v="-2.7491630294452282E-2"/>
    <n v="-1.121624970083765"/>
    <n v="41.920404746709217"/>
    <x v="0"/>
    <n v="5014"/>
  </r>
  <r>
    <x v="358"/>
    <n v="316394.73090000002"/>
    <n v="326627.1384"/>
    <x v="354"/>
    <n v="40.678160311133972"/>
    <x v="358"/>
    <n v="-3.2340638135449969E-2"/>
    <n v="-1.3155576626382057"/>
    <n v="41.993717973772178"/>
    <x v="0"/>
    <n v="7778"/>
  </r>
  <r>
    <x v="359"/>
    <n v="486230.32020000002"/>
    <n v="495909.08960000001"/>
    <x v="355"/>
    <n v="41.174555017359644"/>
    <x v="359"/>
    <n v="-1.9905729852508672E-2"/>
    <n v="-0.81960956897281534"/>
    <n v="41.99416458633246"/>
    <x v="0"/>
    <n v="11809"/>
  </r>
  <r>
    <x v="360"/>
    <n v="137686.53210000001"/>
    <n v="140525.7867"/>
    <x v="356"/>
    <n v="41.174202183014359"/>
    <x v="360"/>
    <n v="-2.0621149771844573E-2"/>
    <n v="-0.84905938995214569"/>
    <n v="42.023261572966504"/>
    <x v="0"/>
    <n v="3344"/>
  </r>
  <r>
    <x v="361"/>
    <n v="48102.96241"/>
    <n v="49028.36507"/>
    <x v="357"/>
    <n v="41.148813011120616"/>
    <x v="361"/>
    <n v="-1.9237955702445887E-2"/>
    <n v="-0.79161904191617083"/>
    <n v="41.940432053036787"/>
    <x v="0"/>
    <n v="1169"/>
  </r>
  <r>
    <x v="362"/>
    <n v="110162.132"/>
    <n v="112383.5592"/>
    <x v="358"/>
    <n v="41.166715994020926"/>
    <x v="362"/>
    <n v="-2.0165070879347231E-2"/>
    <n v="-0.83012974588938704"/>
    <n v="41.996845739910313"/>
    <x v="0"/>
    <n v="2676"/>
  </r>
  <r>
    <x v="363"/>
    <n v="69051.337090000001"/>
    <n v="70482.717799999999"/>
    <x v="359"/>
    <n v="41.175514066785929"/>
    <x v="363"/>
    <n v="-2.0729225100078328E-2"/>
    <n v="-0.8535364997018462"/>
    <n v="42.029050566487776"/>
    <x v="0"/>
    <n v="1677"/>
  </r>
  <r>
    <x v="364"/>
    <n v="133307.36900000001"/>
    <n v="136003.48250000001"/>
    <x v="360"/>
    <n v="41.182381526104422"/>
    <x v="364"/>
    <n v="-2.0224789673855215E-2"/>
    <n v="-0.83290500463392192"/>
    <n v="42.015286530738344"/>
    <x v="0"/>
    <n v="3237"/>
  </r>
  <r>
    <x v="365"/>
    <n v="216389.5043"/>
    <n v="235723.7648"/>
    <x v="361"/>
    <n v="38.592741983235243"/>
    <x v="365"/>
    <n v="-8.9349345119785484E-2"/>
    <n v="-3.4482362225789203"/>
    <n v="42.040978205814163"/>
    <x v="0"/>
    <n v="5607"/>
  </r>
  <r>
    <x v="366"/>
    <n v="365055.31199999998"/>
    <n v="398013.34830000001"/>
    <x v="362"/>
    <n v="38.573046491969563"/>
    <x v="366"/>
    <n v="-9.0282308506717576E-2"/>
    <n v="-3.4824636834319591"/>
    <n v="42.055510175401523"/>
    <x v="0"/>
    <n v="9464"/>
  </r>
  <r>
    <x v="367"/>
    <n v="112161.41959999999"/>
    <n v="122170.4317"/>
    <x v="363"/>
    <n v="38.609782994836486"/>
    <x v="367"/>
    <n v="-8.9237566140790966E-2"/>
    <n v="-3.4454430636833067"/>
    <n v="42.055226058519793"/>
    <x v="0"/>
    <n v="2905"/>
  </r>
  <r>
    <x v="368"/>
    <n v="271101.46169999999"/>
    <n v="295019.4694"/>
    <x v="148"/>
    <n v="38.601945279794954"/>
    <x v="368"/>
    <n v="-8.8225299672001059E-2"/>
    <n v="-3.4056681902320989"/>
    <n v="42.007613470027053"/>
    <x v="0"/>
    <n v="7023"/>
  </r>
  <r>
    <x v="369"/>
    <n v="245813.28829999999"/>
    <n v="267734.72529999999"/>
    <x v="364"/>
    <n v="38.583156223512788"/>
    <x v="369"/>
    <n v="-8.9179218713539357E-2"/>
    <n v="-3.4408157275153073"/>
    <n v="42.023971951028095"/>
    <x v="0"/>
    <n v="6371"/>
  </r>
  <r>
    <x v="370"/>
    <n v="178394.81200000001"/>
    <n v="194427.448"/>
    <x v="365"/>
    <n v="38.580192906574396"/>
    <x v="370"/>
    <n v="-8.9871649406486093E-2"/>
    <n v="-3.4672655709342521"/>
    <n v="42.047458477508648"/>
    <x v="0"/>
    <n v="4624"/>
  </r>
  <r>
    <x v="371"/>
    <n v="220443.63149999999"/>
    <n v="239988.0275"/>
    <x v="366"/>
    <n v="38.559319835578101"/>
    <x v="371"/>
    <n v="-8.8659381389296382E-2"/>
    <n v="-3.4186454434143769"/>
    <n v="41.977965278992478"/>
    <x v="0"/>
    <n v="5717"/>
  </r>
  <r>
    <x v="372"/>
    <n v="181534.1887"/>
    <n v="197328.94390000001"/>
    <x v="367"/>
    <n v="38.583249458023381"/>
    <x v="372"/>
    <n v="-8.7007055327204125E-2"/>
    <n v="-3.3570149202975585"/>
    <n v="41.94026437832094"/>
    <x v="0"/>
    <n v="4705"/>
  </r>
  <r>
    <x v="373"/>
    <n v="83176.481390000001"/>
    <n v="84728.831200000001"/>
    <x v="368"/>
    <n v="41.176475935643566"/>
    <x v="373"/>
    <n v="-1.8663326267930262E-2"/>
    <n v="-0.76849000495049324"/>
    <n v="41.944965940594059"/>
    <x v="0"/>
    <n v="2020"/>
  </r>
  <r>
    <x v="374"/>
    <n v="76894.779349999997"/>
    <n v="78468.095499999996"/>
    <x v="369"/>
    <n v="41.164228774089935"/>
    <x v="374"/>
    <n v="-2.0460636772735585E-2"/>
    <n v="-0.84224633297644402"/>
    <n v="42.006475107066379"/>
    <x v="0"/>
    <n v="1868"/>
  </r>
  <r>
    <x v="375"/>
    <n v="123859.38800000001"/>
    <n v="126444.1425"/>
    <x v="370"/>
    <n v="41.176658244680851"/>
    <x v="375"/>
    <n v="-2.0868458513617034E-2"/>
    <n v="-0.85929338430850777"/>
    <n v="42.035951628989359"/>
    <x v="0"/>
    <n v="3008"/>
  </r>
  <r>
    <x v="376"/>
    <n v="120807.5742"/>
    <n v="123392.80409999999"/>
    <x v="371"/>
    <n v="41.175042331288346"/>
    <x v="376"/>
    <n v="-2.1399568008211783E-2"/>
    <n v="-0.88112811860940354"/>
    <n v="42.056170449897749"/>
    <x v="0"/>
    <n v="2934"/>
  </r>
  <r>
    <x v="377"/>
    <n v="69597.36735"/>
    <n v="71051.363500000007"/>
    <x v="372"/>
    <n v="41.181874171597634"/>
    <x v="377"/>
    <n v="-2.0891539513096344E-2"/>
    <n v="-0.86035275147929013"/>
    <n v="42.042226923076925"/>
    <x v="0"/>
    <n v="1690"/>
  </r>
  <r>
    <x v="378"/>
    <n v="84738.294410000002"/>
    <n v="86467.537750000003"/>
    <x v="373"/>
    <n v="41.175070170068025"/>
    <x v="378"/>
    <n v="-2.0406869787031399E-2"/>
    <n v="-0.84025429543245878"/>
    <n v="42.015324465500484"/>
    <x v="0"/>
    <n v="2058"/>
  </r>
  <r>
    <x v="379"/>
    <n v="64653.972139999998"/>
    <n v="65980.422089999993"/>
    <x v="374"/>
    <n v="41.180873974522292"/>
    <x v="379"/>
    <n v="-2.0516140093105727E-2"/>
    <n v="-0.84487257961782802"/>
    <n v="42.02574655414012"/>
    <x v="0"/>
    <n v="1570"/>
  </r>
  <r>
    <x v="380"/>
    <n v="59553.386030000001"/>
    <n v="60703.356030000003"/>
    <x v="375"/>
    <n v="41.184914266943295"/>
    <x v="380"/>
    <n v="-1.930990119387509E-2"/>
    <n v="-0.79527662517288888"/>
    <n v="41.980190892116184"/>
    <x v="0"/>
    <n v="1446"/>
  </r>
  <r>
    <x v="381"/>
    <n v="79080.756959999999"/>
    <n v="80337.748309999995"/>
    <x v="376"/>
    <n v="41.166453388859971"/>
    <x v="381"/>
    <n v="-1.5895034371456486E-2"/>
    <n v="-0.65434219156689011"/>
    <n v="41.820795580426861"/>
    <x v="0"/>
    <n v="1921"/>
  </r>
  <r>
    <x v="382"/>
    <n v="149444.05679999999"/>
    <n v="152030.9865"/>
    <x v="377"/>
    <n v="41.180506144943507"/>
    <x v="382"/>
    <n v="-1.7310355161611272E-2"/>
    <n v="-0.71284918710389178"/>
    <n v="41.893355332047399"/>
    <x v="0"/>
    <n v="3629"/>
  </r>
  <r>
    <x v="383"/>
    <n v="170624.07990000001"/>
    <n v="173547.02710000001"/>
    <x v="378"/>
    <n v="41.173764454633208"/>
    <x v="383"/>
    <n v="-1.7130918459534475E-2"/>
    <n v="-0.70534440154440148"/>
    <n v="41.879108856177609"/>
    <x v="0"/>
    <n v="4144"/>
  </r>
  <r>
    <x v="384"/>
    <n v="74744.283150000003"/>
    <n v="76003.928249999997"/>
    <x v="379"/>
    <n v="41.181423223140499"/>
    <x v="384"/>
    <n v="-1.6852728354783804E-2"/>
    <n v="-0.69401933884297051"/>
    <n v="41.875442561983469"/>
    <x v="0"/>
    <n v="1815"/>
  </r>
  <r>
    <x v="385"/>
    <n v="90144.161399999997"/>
    <n v="91110.969349999999"/>
    <x v="380"/>
    <n v="41.180521425308356"/>
    <x v="385"/>
    <n v="-1.0725131112041186E-2"/>
    <n v="-0.44166649154865922"/>
    <n v="41.622187916857015"/>
    <x v="0"/>
    <n v="2189"/>
  </r>
  <r>
    <x v="386"/>
    <n v="97826.808799999999"/>
    <n v="99134.306989999997"/>
    <x v="381"/>
    <n v="41.172899326599328"/>
    <x v="386"/>
    <n v="-1.3365438431842198E-2"/>
    <n v="-0.55029385101009609"/>
    <n v="41.723193177609424"/>
    <x v="0"/>
    <n v="2376"/>
  </r>
  <r>
    <x v="387"/>
    <n v="62795.979149999999"/>
    <n v="64144.088880000003"/>
    <x v="382"/>
    <n v="41.177691245901642"/>
    <x v="387"/>
    <n v="-2.1468089967667997E-2"/>
    <n v="-0.88400638032786816"/>
    <n v="42.06169762622951"/>
    <x v="0"/>
    <n v="1525"/>
  </r>
  <r>
    <x v="388"/>
    <n v="66550.989830000006"/>
    <n v="67952.150550000006"/>
    <x v="383"/>
    <n v="41.182543211633664"/>
    <x v="388"/>
    <n v="-2.1053942602193745E-2"/>
    <n v="-0.86705490099010518"/>
    <n v="42.049598112623769"/>
    <x v="0"/>
    <n v="1616"/>
  </r>
  <r>
    <x v="389"/>
    <n v="154670.89069999999"/>
    <n v="158031.791"/>
    <x v="384"/>
    <n v="41.168722571200426"/>
    <x v="389"/>
    <n v="-2.1729365395062077E-2"/>
    <n v="-0.89457021559754679"/>
    <n v="42.063292786797973"/>
    <x v="0"/>
    <n v="3757"/>
  </r>
  <r>
    <x v="390"/>
    <n v="158722.10560000001"/>
    <n v="162082.4184"/>
    <x v="385"/>
    <n v="41.173049442282753"/>
    <x v="390"/>
    <n v="-2.1171044747027253E-2"/>
    <n v="-0.87167647211413168"/>
    <n v="42.044725914396885"/>
    <x v="0"/>
    <n v="3855"/>
  </r>
  <r>
    <x v="391"/>
    <n v="78092.276920000004"/>
    <n v="79795.043099999995"/>
    <x v="386"/>
    <n v="41.166197638376389"/>
    <x v="391"/>
    <n v="-2.1804540053869278E-2"/>
    <n v="-0.89761000527147417"/>
    <n v="42.063807643647863"/>
    <x v="0"/>
    <n v="1897"/>
  </r>
  <r>
    <x v="392"/>
    <n v="91830.402040000001"/>
    <n v="93808.086750000002"/>
    <x v="387"/>
    <n v="41.179552484304935"/>
    <x v="392"/>
    <n v="-2.1536274110381771E-2"/>
    <n v="-0.88685413004483848"/>
    <n v="42.066406614349773"/>
    <x v="0"/>
    <n v="2230"/>
  </r>
  <r>
    <x v="393"/>
    <n v="76992.935679999995"/>
    <n v="78614.457750000001"/>
    <x v="388"/>
    <n v="41.172692877005346"/>
    <x v="393"/>
    <n v="-2.1060660379796634E-2"/>
    <n v="-0.86712410160428277"/>
    <n v="42.039816978609629"/>
    <x v="0"/>
    <n v="1870"/>
  </r>
  <r>
    <x v="394"/>
    <n v="59897.715880000003"/>
    <n v="61194.180260000001"/>
    <x v="389"/>
    <n v="41.166815037800689"/>
    <x v="394"/>
    <n v="-2.1644638045920719E-2"/>
    <n v="-0.8910408109965644"/>
    <n v="42.057855848797253"/>
    <x v="0"/>
    <n v="1455"/>
  </r>
  <r>
    <x v="395"/>
    <n v="57310.194040000002"/>
    <n v="58531.410989999997"/>
    <x v="390"/>
    <n v="41.171116408045975"/>
    <x v="395"/>
    <n v="-2.1308895746324618E-2"/>
    <n v="-0.8773110272988518"/>
    <n v="42.048427435344827"/>
    <x v="0"/>
    <n v="1392"/>
  </r>
  <r>
    <x v="396"/>
    <n v="134540.2145"/>
    <n v="137221.53750000001"/>
    <x v="391"/>
    <n v="41.168976285189721"/>
    <x v="396"/>
    <n v="-1.9929528208088326E-2"/>
    <n v="-0.82047827417380859"/>
    <n v="41.98945455936353"/>
    <x v="0"/>
    <n v="3268"/>
  </r>
  <r>
    <x v="397"/>
    <n v="200193.61199999999"/>
    <n v="203814.73639999999"/>
    <x v="392"/>
    <n v="41.175156725627311"/>
    <x v="397"/>
    <n v="-1.8088111622662568E-2"/>
    <n v="-0.74478083093377734"/>
    <n v="41.919937556561088"/>
    <x v="0"/>
    <n v="4862"/>
  </r>
  <r>
    <x v="398"/>
    <n v="171469.93049999999"/>
    <n v="174652.45800000001"/>
    <x v="393"/>
    <n v="41.169251020408161"/>
    <x v="398"/>
    <n v="-1.8560265877054321E-2"/>
    <n v="-0.76411224489796581"/>
    <n v="41.933363265306127"/>
    <x v="0"/>
    <n v="4165"/>
  </r>
  <r>
    <x v="399"/>
    <n v="151737.2188"/>
    <n v="154148.59880000001"/>
    <x v="394"/>
    <n v="41.176992890094979"/>
    <x v="399"/>
    <n v="-1.5891816253587512E-2"/>
    <n v="-0.65437720488466766"/>
    <n v="41.831370094979647"/>
    <x v="0"/>
    <n v="3685"/>
  </r>
  <r>
    <x v="400"/>
    <n v="102072.4434"/>
    <n v="103634.9642"/>
    <x v="395"/>
    <n v="41.174846066962488"/>
    <x v="400"/>
    <n v="-1.5307959209684191E-2"/>
    <n v="-0.63030286405808766"/>
    <n v="41.805148931020575"/>
    <x v="0"/>
    <n v="2479"/>
  </r>
  <r>
    <x v="401"/>
    <n v="82514.105119999993"/>
    <n v="83232.391369999998"/>
    <x v="396"/>
    <n v="41.154167142144637"/>
    <x v="401"/>
    <n v="-8.7050116941267599E-3"/>
    <n v="-0.35824750623441304"/>
    <n v="41.51241464837905"/>
    <x v="0"/>
    <n v="2005"/>
  </r>
  <r>
    <x v="402"/>
    <n v="46211.332459999998"/>
    <n v="46407.299120000003"/>
    <x v="324"/>
    <n v="41.186570819964345"/>
    <x v="402"/>
    <n v="-4.2406623996317791E-3"/>
    <n v="-0.17465834224599774"/>
    <n v="41.361229162210343"/>
    <x v="0"/>
    <n v="1122"/>
  </r>
  <r>
    <x v="403"/>
    <n v="85730.414810000002"/>
    <n v="85765.709340000001"/>
    <x v="397"/>
    <n v="41.176952358309322"/>
    <x v="403"/>
    <n v="-4.116920474282167E-4"/>
    <n v="-1.6952223823246015E-2"/>
    <n v="41.193904582132568"/>
    <x v="0"/>
    <n v="2082"/>
  </r>
  <r>
    <x v="404"/>
    <n v="105918.2933"/>
    <n v="105662.55620000001"/>
    <x v="398"/>
    <n v="41.165290827827441"/>
    <x v="404"/>
    <n v="2.4144752717611853E-3"/>
    <n v="9.9392576758646101E-2"/>
    <n v="41.065898251068795"/>
    <x v="1"/>
    <n v="2573"/>
  </r>
  <r>
    <x v="405"/>
    <n v="73041.660870000007"/>
    <n v="73046.233900000007"/>
    <x v="399"/>
    <n v="41.173427773393463"/>
    <x v="405"/>
    <n v="-6.2608516092462204E-5"/>
    <n v="-2.5778072153315179E-3"/>
    <n v="41.176005580608795"/>
    <x v="0"/>
    <n v="1774"/>
  </r>
  <r>
    <x v="406"/>
    <n v="97908.547099999996"/>
    <n v="97097.936589999998"/>
    <x v="400"/>
    <n v="41.172643860386877"/>
    <x v="406"/>
    <n v="8.2792619644541602E-3"/>
    <n v="0.34087910428931423"/>
    <n v="40.831764756097563"/>
    <x v="1"/>
    <n v="2378"/>
  </r>
  <r>
    <x v="407"/>
    <n v="138667.41589999999"/>
    <n v="148522.84899999999"/>
    <x v="401"/>
    <n v="37.712106581452268"/>
    <x v="407"/>
    <n v="-7.1072450842433244E-2"/>
    <n v="-2.6802918411748706"/>
    <n v="40.392398422627139"/>
    <x v="0"/>
    <n v="3677"/>
  </r>
  <r>
    <x v="408"/>
    <n v="162162.1035"/>
    <n v="173661.8278"/>
    <x v="402"/>
    <n v="37.720889392882064"/>
    <x v="408"/>
    <n v="-7.09149921701651E-2"/>
    <n v="-2.6749765759478947"/>
    <n v="40.395865968829959"/>
    <x v="0"/>
    <n v="4299"/>
  </r>
  <r>
    <x v="409"/>
    <n v="138520.1268"/>
    <n v="147756.34280000001"/>
    <x v="403"/>
    <n v="37.702810778443116"/>
    <x v="409"/>
    <n v="-6.6677790537512091E-2"/>
    <n v="-2.513940119760484"/>
    <n v="40.2167508982036"/>
    <x v="0"/>
    <n v="3674"/>
  </r>
  <r>
    <x v="410"/>
    <n v="358597.42849999998"/>
    <n v="382447.08039999998"/>
    <x v="404"/>
    <n v="37.727241294055759"/>
    <x v="410"/>
    <n v="-6.6508150936168797E-2"/>
    <n v="-2.5091690583903201"/>
    <n v="40.236410352446079"/>
    <x v="0"/>
    <n v="9505"/>
  </r>
  <r>
    <x v="411"/>
    <n v="424009.88250000001"/>
    <n v="451548.02759999997"/>
    <x v="405"/>
    <n v="37.733370339058467"/>
    <x v="411"/>
    <n v="-6.4946941655304374E-2"/>
    <n v="-2.4506670018688226"/>
    <n v="40.18403734092729"/>
    <x v="0"/>
    <n v="11237"/>
  </r>
  <r>
    <x v="412"/>
    <n v="203861.4724"/>
    <n v="217065.6152"/>
    <x v="406"/>
    <n v="37.710224269330375"/>
    <x v="412"/>
    <n v="-6.4770172826437419E-2"/>
    <n v="-2.4424977432482393"/>
    <n v="40.152722012578614"/>
    <x v="0"/>
    <n v="5406"/>
  </r>
  <r>
    <x v="413"/>
    <n v="220506.20929999999"/>
    <n v="234723.22"/>
    <x v="407"/>
    <n v="37.719159989736568"/>
    <x v="413"/>
    <n v="-6.4474423396656766E-2"/>
    <n v="-2.4319210913445133"/>
    <n v="40.151081081081081"/>
    <x v="0"/>
    <n v="5846"/>
  </r>
  <r>
    <x v="414"/>
    <n v="139935.93700000001"/>
    <n v="148697.54370000001"/>
    <x v="408"/>
    <n v="37.688105844330728"/>
    <x v="414"/>
    <n v="-6.2611555600617472E-2"/>
    <n v="-2.3597109345542719"/>
    <n v="40.047816778885"/>
    <x v="0"/>
    <n v="3713"/>
  </r>
  <r>
    <x v="415"/>
    <n v="161064.75229999999"/>
    <n v="170739.36660000001"/>
    <x v="55"/>
    <n v="37.720082505854798"/>
    <x v="415"/>
    <n v="-6.0066613966412913E-2"/>
    <n v="-2.265717634660426"/>
    <n v="39.985800140515224"/>
    <x v="0"/>
    <n v="4270"/>
  </r>
  <r>
    <x v="416"/>
    <n v="144328.54519999999"/>
    <n v="152824.11489999999"/>
    <x v="409"/>
    <n v="37.71323365560491"/>
    <x v="416"/>
    <n v="-5.8862712765707231E-2"/>
    <n v="-2.2199032401358778"/>
    <n v="39.933136895740788"/>
    <x v="0"/>
    <n v="3827"/>
  </r>
  <r>
    <x v="417"/>
    <n v="293071.75919999997"/>
    <n v="310240.37839999999"/>
    <x v="410"/>
    <n v="37.718373127413123"/>
    <x v="417"/>
    <n v="-5.8581622626708608E-2"/>
    <n v="-2.2096035006435031"/>
    <n v="39.927976628056626"/>
    <x v="0"/>
    <n v="7770"/>
  </r>
  <r>
    <x v="418"/>
    <n v="267782.15399999998"/>
    <n v="283430.33679999999"/>
    <x v="411"/>
    <n v="37.705175161926213"/>
    <x v="418"/>
    <n v="-5.8436242170193352E-2"/>
    <n v="-2.2033487468318782"/>
    <n v="39.908523908758092"/>
    <x v="0"/>
    <n v="7102"/>
  </r>
  <r>
    <x v="419"/>
    <n v="136052.68840000001"/>
    <n v="144020.12280000001"/>
    <x v="412"/>
    <n v="37.708616518847009"/>
    <x v="419"/>
    <n v="-5.8561388927320879E-2"/>
    <n v="-2.2082689578713968"/>
    <n v="39.916885476718406"/>
    <x v="0"/>
    <n v="3608"/>
  </r>
  <r>
    <x v="420"/>
    <n v="86703.31409"/>
    <n v="85730.966539999994"/>
    <x v="413"/>
    <n v="40.327122832558139"/>
    <x v="420"/>
    <n v="1.1214652637045536E-2"/>
    <n v="0.45225467441860445"/>
    <n v="39.874868158139535"/>
    <x v="1"/>
    <n v="2150"/>
  </r>
  <r>
    <x v="421"/>
    <n v="95474.357369999998"/>
    <n v="100867.5241"/>
    <x v="414"/>
    <n v="37.736900146245056"/>
    <x v="421"/>
    <n v="-5.6488117632459089E-2"/>
    <n v="-2.1316864545454592"/>
    <n v="39.868586600790515"/>
    <x v="0"/>
    <n v="2530"/>
  </r>
  <r>
    <x v="422"/>
    <n v="198431.6275"/>
    <n v="209499.7941"/>
    <x v="415"/>
    <n v="37.774914810584427"/>
    <x v="422"/>
    <n v="-5.5778238275045126E-2"/>
    <n v="-2.1070181991243118"/>
    <n v="39.881933009708739"/>
    <x v="0"/>
    <n v="5253"/>
  </r>
  <r>
    <x v="423"/>
    <n v="157291.734"/>
    <n v="166305.03760000001"/>
    <x v="416"/>
    <n v="37.71079693119156"/>
    <x v="423"/>
    <n v="-5.7303097694885952E-2"/>
    <n v="-2.1609454807000787"/>
    <n v="39.871742411891638"/>
    <x v="0"/>
    <n v="4171"/>
  </r>
  <r>
    <x v="424"/>
    <n v="307540.6752"/>
    <n v="324997.33649999998"/>
    <x v="417"/>
    <n v="37.707292202059833"/>
    <x v="424"/>
    <n v="-5.6762121916548287E-2"/>
    <n v="-2.1403459171162282"/>
    <n v="39.847638119176061"/>
    <x v="0"/>
    <n v="8156"/>
  </r>
  <r>
    <x v="425"/>
    <n v="350898.7635"/>
    <n v="375030.63549999997"/>
    <x v="418"/>
    <n v="37.747285230206543"/>
    <x v="425"/>
    <n v="-6.8771607398382797E-2"/>
    <n v="-2.5959414802065339"/>
    <n v="40.343226710413077"/>
    <x v="0"/>
    <n v="9296"/>
  </r>
  <r>
    <x v="426"/>
    <n v="256701.54269999999"/>
    <n v="276569.25040000002"/>
    <x v="419"/>
    <n v="37.733579700132296"/>
    <x v="426"/>
    <n v="-7.7396136739306121E-2"/>
    <n v="-2.9204332941349449"/>
    <n v="40.654012994267241"/>
    <x v="0"/>
    <n v="6803"/>
  </r>
  <r>
    <x v="427"/>
    <n v="234705.59280000001"/>
    <n v="252709.82310000001"/>
    <x v="420"/>
    <n v="37.727952547821893"/>
    <x v="427"/>
    <n v="-7.6709847793622735E-2"/>
    <n v="-2.8941054975084413"/>
    <n v="40.622058045330334"/>
    <x v="0"/>
    <n v="6221"/>
  </r>
  <r>
    <x v="428"/>
    <n v="249380.56539999999"/>
    <n v="268761.83240000001"/>
    <x v="421"/>
    <n v="37.722064044773859"/>
    <x v="428"/>
    <n v="-7.7717631961067096E-2"/>
    <n v="-2.9316694902435358"/>
    <n v="40.653733535017395"/>
    <x v="0"/>
    <n v="6611"/>
  </r>
  <r>
    <x v="429"/>
    <n v="258211.4442"/>
    <n v="278825.6067"/>
    <x v="422"/>
    <n v="37.733661288908372"/>
    <x v="429"/>
    <n v="-7.9834426254295376E-2"/>
    <n v="-3.0124451994739161"/>
    <n v="40.746106488382289"/>
    <x v="0"/>
    <n v="6843"/>
  </r>
  <r>
    <x v="430"/>
    <n v="145975.8339"/>
    <n v="157578.00589999999"/>
    <x v="423"/>
    <n v="37.837178304821151"/>
    <x v="430"/>
    <n v="-7.9480087148863288E-2"/>
    <n v="-3.007302229134261"/>
    <n v="40.844480533955412"/>
    <x v="0"/>
    <n v="3858"/>
  </r>
  <r>
    <x v="431"/>
    <n v="269239.85259999998"/>
    <n v="291365.01760000002"/>
    <x v="424"/>
    <n v="37.772145426487093"/>
    <x v="431"/>
    <n v="-8.2176411799149973E-2"/>
    <n v="-3.1039793771043804"/>
    <n v="40.876124803591473"/>
    <x v="0"/>
    <n v="7128"/>
  </r>
  <r>
    <x v="432"/>
    <n v="306920.21159999998"/>
    <n v="332242.41159999999"/>
    <x v="425"/>
    <n v="37.765499150978215"/>
    <x v="432"/>
    <n v="-8.2504178750540169E-2"/>
    <n v="-3.1158114925556859"/>
    <n v="40.881310643533901"/>
    <x v="0"/>
    <n v="8127"/>
  </r>
  <r>
    <x v="433"/>
    <n v="122106.7956"/>
    <n v="121394.8122"/>
    <x v="426"/>
    <n v="41.168845448415375"/>
    <x v="433"/>
    <n v="5.8308253566191964E-3"/>
    <n v="0.2400483479433575"/>
    <n v="40.928797100472018"/>
    <x v="1"/>
    <n v="2966"/>
  </r>
  <r>
    <x v="434"/>
    <n v="117661.28079999999"/>
    <n v="116861.1583"/>
    <x v="427"/>
    <n v="41.169097550734776"/>
    <x v="434"/>
    <n v="6.8002191932624084E-3"/>
    <n v="0.27995888733379815"/>
    <n v="40.889138663400978"/>
    <x v="1"/>
    <n v="2858"/>
  </r>
  <r>
    <x v="435"/>
    <n v="62499.799169999998"/>
    <n v="62073.872649999998"/>
    <x v="428"/>
    <n v="41.172463221343875"/>
    <x v="435"/>
    <n v="6.8148462180090703E-3"/>
    <n v="0.28058400527009297"/>
    <n v="40.891879216073782"/>
    <x v="1"/>
    <n v="1518"/>
  </r>
  <r>
    <x v="436"/>
    <n v="57063.984120000001"/>
    <n v="56638.281369999997"/>
    <x v="429"/>
    <n v="41.171705714285714"/>
    <x v="436"/>
    <n v="7.4600951294391329E-3"/>
    <n v="0.30714484126984587"/>
    <n v="40.864560873015868"/>
    <x v="1"/>
    <n v="1386"/>
  </r>
  <r>
    <x v="437"/>
    <n v="48008.482839999997"/>
    <n v="47681.672079999997"/>
    <x v="430"/>
    <n v="41.173655951972556"/>
    <x v="437"/>
    <n v="6.8073544646094532E-3"/>
    <n v="0.28028367066895754"/>
    <n v="40.893372281303598"/>
    <x v="1"/>
    <n v="1166"/>
  </r>
  <r>
    <x v="438"/>
    <n v="117446.8391"/>
    <n v="116681.1416"/>
    <x v="431"/>
    <n v="41.166084507535928"/>
    <x v="438"/>
    <n v="6.5195241171883932E-3"/>
    <n v="0.26838328075709939"/>
    <n v="40.897701226778828"/>
    <x v="1"/>
    <n v="2853"/>
  </r>
  <r>
    <x v="439"/>
    <n v="150591.54790000001"/>
    <n v="149573.82759999999"/>
    <x v="432"/>
    <n v="41.178984933005196"/>
    <x v="439"/>
    <n v="6.7581502029305813E-3"/>
    <n v="0.27829376538146278"/>
    <n v="40.900691167623734"/>
    <x v="1"/>
    <n v="3657"/>
  </r>
  <r>
    <x v="440"/>
    <n v="67152.474950000003"/>
    <n v="66802.983219999995"/>
    <x v="433"/>
    <n v="41.172578142244021"/>
    <x v="440"/>
    <n v="5.2044504727522152E-3"/>
    <n v="0.21428064377682432"/>
    <n v="40.958297498467196"/>
    <x v="1"/>
    <n v="1631"/>
  </r>
  <r>
    <x v="441"/>
    <n v="80635.289250000002"/>
    <n v="80121.290519999995"/>
    <x v="434"/>
    <n v="41.16145444104135"/>
    <x v="441"/>
    <n v="6.3743645590011522E-3"/>
    <n v="0.26237811638591779"/>
    <n v="40.899076324655432"/>
    <x v="1"/>
    <n v="1959"/>
  </r>
  <r>
    <x v="442"/>
    <n v="50669.6371"/>
    <n v="50308.957049999997"/>
    <x v="435"/>
    <n v="41.194826910569105"/>
    <x v="442"/>
    <n v="7.1182678748650972E-3"/>
    <n v="0.29323581300813117"/>
    <n v="40.901591097560974"/>
    <x v="1"/>
    <n v="1230"/>
  </r>
  <r>
    <x v="443"/>
    <n v="48648.992660000004"/>
    <n v="48362.068789999998"/>
    <x v="436"/>
    <n v="41.158200219966162"/>
    <x v="443"/>
    <n v="5.8978378443572477E-3"/>
    <n v="0.24274439086294564"/>
    <n v="40.915455829103216"/>
    <x v="1"/>
    <n v="1182"/>
  </r>
  <r>
    <x v="444"/>
    <n v="43213.177620000002"/>
    <n v="42981.216849999997"/>
    <x v="437"/>
    <n v="41.155407257142862"/>
    <x v="444"/>
    <n v="5.3678248806366098E-3"/>
    <n v="0.22091501904762367"/>
    <n v="40.934492238095238"/>
    <x v="1"/>
    <n v="1050"/>
  </r>
  <r>
    <x v="445"/>
    <n v="96881.018089999998"/>
    <n v="96453.287280000004"/>
    <x v="438"/>
    <n v="41.173403353166172"/>
    <x v="445"/>
    <n v="4.4150115103315972E-3"/>
    <n v="0.18178104972375309"/>
    <n v="40.991622303442419"/>
    <x v="1"/>
    <n v="2353"/>
  </r>
  <r>
    <x v="446"/>
    <n v="121360.8851"/>
    <n v="120829.288"/>
    <x v="218"/>
    <n v="41.181162232779094"/>
    <x v="446"/>
    <n v="4.3803001235692132E-3"/>
    <n v="0.18038585001696106"/>
    <n v="41.000776382762133"/>
    <x v="1"/>
    <n v="2947"/>
  </r>
  <r>
    <x v="447"/>
    <n v="66954.366370000003"/>
    <n v="66756.376439999993"/>
    <x v="439"/>
    <n v="41.177347091020913"/>
    <x v="447"/>
    <n v="2.9570876513995846E-3"/>
    <n v="0.12176502460025063"/>
    <n v="41.055582066420662"/>
    <x v="1"/>
    <n v="1626"/>
  </r>
  <r>
    <x v="448"/>
    <n v="81342.150760000004"/>
    <n v="81132.012900000002"/>
    <x v="440"/>
    <n v="41.165056052631584"/>
    <x v="448"/>
    <n v="2.5833821461152934E-3"/>
    <n v="0.10634507085021028"/>
    <n v="41.058710981781374"/>
    <x v="1"/>
    <n v="1976"/>
  </r>
  <r>
    <x v="449"/>
    <n v="125060.70789999999"/>
    <n v="136375.15270000001"/>
    <x v="441"/>
    <n v="37.759875573671493"/>
    <x v="449"/>
    <n v="-9.0471619663685054E-2"/>
    <n v="-3.4161971014492778"/>
    <n v="41.176072675120771"/>
    <x v="0"/>
    <n v="3312"/>
  </r>
  <r>
    <x v="450"/>
    <n v="253218.83119999999"/>
    <n v="276194.82949999999"/>
    <x v="442"/>
    <n v="37.771305369928399"/>
    <x v="450"/>
    <n v="-9.0735741062847181E-2"/>
    <n v="-3.4272073836515489"/>
    <n v="41.198512753579948"/>
    <x v="0"/>
    <n v="6704"/>
  </r>
  <r>
    <x v="451"/>
    <n v="229184.4719"/>
    <n v="250361.1502"/>
    <x v="443"/>
    <n v="37.713423054138559"/>
    <x v="451"/>
    <n v="-9.24001444096091E-2"/>
    <n v="-3.4847257363830835"/>
    <n v="41.198148790521643"/>
    <x v="0"/>
    <n v="6077"/>
  </r>
  <r>
    <x v="452"/>
    <n v="354191.35100000002"/>
    <n v="386464.65130000003"/>
    <x v="444"/>
    <n v="37.736133709780525"/>
    <x v="452"/>
    <n v="-9.111826194762164E-2"/>
    <n v="-3.4384509162582617"/>
    <n v="41.174584626038786"/>
    <x v="0"/>
    <n v="9386"/>
  </r>
  <r>
    <x v="453"/>
    <n v="459484.6666"/>
    <n v="501362.57250000001"/>
    <x v="445"/>
    <n v="37.721424070273379"/>
    <x v="453"/>
    <n v="-9.1141030254348887E-2"/>
    <n v="-3.4379694524259108"/>
    <n v="41.15939352269929"/>
    <x v="0"/>
    <n v="12181"/>
  </r>
  <r>
    <x v="454"/>
    <n v="224102.8885"/>
    <n v="244359.8075"/>
    <x v="446"/>
    <n v="37.746823058783896"/>
    <x v="454"/>
    <n v="-9.0391155310789284E-2"/>
    <n v="-3.4119789455954219"/>
    <n v="41.158802004379318"/>
    <x v="0"/>
    <n v="5937"/>
  </r>
  <r>
    <x v="455"/>
    <n v="215203.5588"/>
    <n v="234819.4474"/>
    <x v="447"/>
    <n v="37.715309989484751"/>
    <x v="455"/>
    <n v="-9.1150391328937472E-2"/>
    <n v="-3.4377652646337182"/>
    <n v="41.15307525411847"/>
    <x v="0"/>
    <n v="5706"/>
  </r>
  <r>
    <x v="456"/>
    <n v="355534.91200000001"/>
    <n v="386988.91470000002"/>
    <x v="448"/>
    <n v="37.738553444432654"/>
    <x v="456"/>
    <n v="-8.8469519134030949E-2"/>
    <n v="-3.3387116760428839"/>
    <n v="41.077265120475538"/>
    <x v="0"/>
    <n v="9421"/>
  </r>
  <r>
    <x v="457"/>
    <n v="498894.34389999998"/>
    <n v="542483.8358"/>
    <x v="449"/>
    <n v="37.774993859317028"/>
    <x v="457"/>
    <n v="-8.7372190991881121E-2"/>
    <n v="-3.3004839781933839"/>
    <n v="41.075477837510412"/>
    <x v="0"/>
    <n v="13207"/>
  </r>
  <r>
    <x v="458"/>
    <n v="715032.1899"/>
    <n v="777522.19279999996"/>
    <x v="450"/>
    <n v="37.760466302281365"/>
    <x v="458"/>
    <n v="-8.7394670873124511E-2"/>
    <n v="-3.3000635245035923"/>
    <n v="41.060529826784958"/>
    <x v="0"/>
    <n v="18936"/>
  </r>
  <r>
    <x v="459"/>
    <n v="510289.2156"/>
    <n v="554159.81940000004"/>
    <x v="451"/>
    <n v="37.790803199289044"/>
    <x v="459"/>
    <n v="-8.5972037932286735E-2"/>
    <n v="-3.2489523661408626"/>
    <n v="41.039755565429907"/>
    <x v="0"/>
    <n v="13503"/>
  </r>
  <r>
    <x v="460"/>
    <n v="400302.03950000001"/>
    <n v="434872.72889999999"/>
    <x v="452"/>
    <n v="37.764343349056603"/>
    <x v="460"/>
    <n v="-8.6361512030217802E-2"/>
    <n v="-3.2613857924528276"/>
    <n v="41.02572914150943"/>
    <x v="0"/>
    <n v="10600"/>
  </r>
  <r>
    <x v="461"/>
    <n v="135578.2034"/>
    <n v="147335.92509999999"/>
    <x v="453"/>
    <n v="37.75499955444166"/>
    <x v="461"/>
    <n v="-8.6722802081326253E-2"/>
    <n v="-3.2742193539404028"/>
    <n v="41.029218908382063"/>
    <x v="0"/>
    <n v="3591"/>
  </r>
  <r>
    <x v="462"/>
    <n v="182466.25520000001"/>
    <n v="198405.2291"/>
    <x v="454"/>
    <n v="37.730822001654261"/>
    <x v="462"/>
    <n v="-8.7352995119724372E-2"/>
    <n v="-3.2959003101736926"/>
    <n v="41.026722311827953"/>
    <x v="0"/>
    <n v="4836"/>
  </r>
  <r>
    <x v="463"/>
    <n v="176814.20259999999"/>
    <n v="178390.14910000001"/>
    <x v="455"/>
    <n v="40.665639972401102"/>
    <x v="463"/>
    <n v="-8.913008552628679E-3"/>
    <n v="-0.3624531968721314"/>
    <n v="41.028093169273234"/>
    <x v="0"/>
    <n v="4348"/>
  </r>
  <r>
    <x v="464"/>
    <n v="100917.6716"/>
    <n v="100579.1289"/>
    <x v="456"/>
    <n v="41.174080620155038"/>
    <x v="464"/>
    <n v="3.3546423994190271E-3"/>
    <n v="0.1381243166054702"/>
    <n v="41.035956303549568"/>
    <x v="1"/>
    <n v="2451"/>
  </r>
  <r>
    <x v="465"/>
    <n v="74690.672730000006"/>
    <n v="74427.58597"/>
    <x v="457"/>
    <n v="41.17457151598677"/>
    <x v="465"/>
    <n v="3.522350922598332E-3"/>
    <n v="0.14503128996692283"/>
    <n v="41.029540226019847"/>
    <x v="1"/>
    <n v="1814"/>
  </r>
  <r>
    <x v="466"/>
    <n v="114067.07709999999"/>
    <n v="113653.9736"/>
    <x v="458"/>
    <n v="41.179450216606497"/>
    <x v="466"/>
    <n v="3.6215839881461945E-3"/>
    <n v="0.14913483754512669"/>
    <n v="41.030315379061371"/>
    <x v="1"/>
    <n v="2770"/>
  </r>
  <r>
    <x v="467"/>
    <n v="126507.8009"/>
    <n v="126043.7692"/>
    <x v="459"/>
    <n v="41.18092477213542"/>
    <x v="467"/>
    <n v="3.6680085868128218E-3"/>
    <n v="0.15105198567708555"/>
    <n v="41.029872786458334"/>
    <x v="1"/>
    <n v="3072"/>
  </r>
  <r>
    <x v="468"/>
    <n v="79648.629390000002"/>
    <n v="79349.402449999994"/>
    <x v="460"/>
    <n v="41.183365765253363"/>
    <x v="468"/>
    <n v="3.7568372775737447E-3"/>
    <n v="0.15471920372286263"/>
    <n v="41.0286465615305"/>
    <x v="1"/>
    <n v="1934"/>
  </r>
  <r>
    <x v="469"/>
    <n v="83137.432430000001"/>
    <n v="82700.354170000006"/>
    <x v="461"/>
    <n v="41.177529683011393"/>
    <x v="469"/>
    <n v="5.2572980332055074E-3"/>
    <n v="0.21648254581475612"/>
    <n v="40.961047137196637"/>
    <x v="1"/>
    <n v="2019"/>
  </r>
  <r>
    <x v="470"/>
    <n v="40776.02706"/>
    <n v="39940.19958"/>
    <x v="462"/>
    <n v="41.650691583248211"/>
    <x v="470"/>
    <n v="2.0498011705998704E-2"/>
    <n v="0.85375636363636431"/>
    <n v="40.796935219611846"/>
    <x v="1"/>
    <n v="979"/>
  </r>
  <r>
    <x v="471"/>
    <n v="58278.457929999997"/>
    <n v="56969.922590000002"/>
    <x v="463"/>
    <n v="41.687022839771096"/>
    <x v="471"/>
    <n v="2.2453156560383186E-2"/>
    <n v="0.93600525035764548"/>
    <n v="40.751017589413451"/>
    <x v="1"/>
    <n v="1398"/>
  </r>
  <r>
    <x v="472"/>
    <n v="50000.101439999999"/>
    <n v="48827.88538"/>
    <x v="464"/>
    <n v="41.736311719532551"/>
    <x v="472"/>
    <n v="2.3444273636257625E-2"/>
    <n v="0.97847751252086823"/>
    <n v="40.757834207011683"/>
    <x v="1"/>
    <n v="1198"/>
  </r>
  <r>
    <x v="473"/>
    <n v="103911.9191"/>
    <n v="101408.94960000001"/>
    <x v="465"/>
    <n v="41.815661609657944"/>
    <x v="473"/>
    <n v="2.4087414818999259E-2"/>
    <n v="1.0072311871227271"/>
    <n v="40.808430422535217"/>
    <x v="1"/>
    <n v="2485"/>
  </r>
  <r>
    <x v="474"/>
    <n v="132843.22260000001"/>
    <n v="129545.5321"/>
    <x v="466"/>
    <n v="41.879956683480458"/>
    <x v="474"/>
    <n v="2.4823927299095883E-2"/>
    <n v="1.039625000000008"/>
    <n v="40.84033168348045"/>
    <x v="1"/>
    <n v="3172"/>
  </r>
  <r>
    <x v="475"/>
    <n v="62786.611279999997"/>
    <n v="61213.25591"/>
    <x v="313"/>
    <n v="41.941624101536405"/>
    <x v="475"/>
    <n v="2.5058771893000268E-2"/>
    <n v="1.051005591182367"/>
    <n v="40.890618510354038"/>
    <x v="1"/>
    <n v="1497"/>
  </r>
  <r>
    <x v="476"/>
    <n v="57233.406640000001"/>
    <n v="55706.87543"/>
    <x v="467"/>
    <n v="41.929235633699633"/>
    <x v="476"/>
    <n v="2.6672031242206712E-2"/>
    <n v="1.1183378827838837"/>
    <n v="40.81089775091575"/>
    <x v="1"/>
    <n v="1365"/>
  </r>
  <r>
    <x v="477"/>
    <n v="56874.345459999997"/>
    <n v="55172.17123"/>
    <x v="468"/>
    <n v="42.03573204730229"/>
    <x v="477"/>
    <n v="2.9928682541008656E-2"/>
    <n v="1.2580740798226131"/>
    <n v="40.777657967479676"/>
    <x v="1"/>
    <n v="1353"/>
  </r>
  <r>
    <x v="478"/>
    <n v="132737.73699999999"/>
    <n v="140263.9301"/>
    <x v="469"/>
    <n v="38.597771735969758"/>
    <x v="478"/>
    <n v="-5.6699724359471369E-2"/>
    <n v="-2.1884830183192818"/>
    <n v="40.78625475428904"/>
    <x v="0"/>
    <n v="3439"/>
  </r>
  <r>
    <x v="479"/>
    <n v="60310.338949999998"/>
    <n v="58446.054929999998"/>
    <x v="470"/>
    <n v="42.057419072524404"/>
    <x v="479"/>
    <n v="3.091151620861516E-2"/>
    <n v="1.3000585913528582"/>
    <n v="40.757360481171546"/>
    <x v="1"/>
    <n v="1434"/>
  </r>
  <r>
    <x v="480"/>
    <n v="343587.0085"/>
    <n v="362390.59600000002"/>
    <x v="471"/>
    <n v="38.64001445119208"/>
    <x v="480"/>
    <n v="-5.4727294789436207E-2"/>
    <n v="-2.1146634615384698"/>
    <n v="40.75467791273055"/>
    <x v="0"/>
    <n v="8892"/>
  </r>
  <r>
    <x v="481"/>
    <n v="496882.315"/>
    <n v="535306.00989999995"/>
    <x v="472"/>
    <n v="37.802975882531953"/>
    <x v="481"/>
    <n v="-7.7329568270104246E-2"/>
    <n v="-2.9232878043213617"/>
    <n v="40.726263686853315"/>
    <x v="0"/>
    <n v="13144"/>
  </r>
  <r>
    <x v="482"/>
    <n v="200369.82990000001"/>
    <n v="210964.76809999999"/>
    <x v="473"/>
    <n v="38.688903243869476"/>
    <x v="482"/>
    <n v="-5.2876913681504177E-2"/>
    <n v="-2.0457497972581535"/>
    <n v="40.734653041127629"/>
    <x v="0"/>
    <n v="5179"/>
  </r>
  <r>
    <x v="483"/>
    <n v="194028.0618"/>
    <n v="204053.49890000001"/>
    <x v="353"/>
    <n v="38.697260031910652"/>
    <x v="483"/>
    <n v="-5.1670036833816428E-2"/>
    <n v="-1.99948885121659"/>
    <n v="40.696748883127242"/>
    <x v="0"/>
    <n v="5014"/>
  </r>
  <r>
    <x v="484"/>
    <n v="190560.57920000001"/>
    <n v="200804.0368"/>
    <x v="82"/>
    <n v="38.60627617504052"/>
    <x v="484"/>
    <n v="-5.3754337035516284E-2"/>
    <n v="-2.075254781199348"/>
    <n v="40.681530956239868"/>
    <x v="0"/>
    <n v="4936"/>
  </r>
  <r>
    <x v="485"/>
    <n v="198985.3996"/>
    <n v="209483.87580000001"/>
    <x v="474"/>
    <n v="38.637941669902915"/>
    <x v="485"/>
    <n v="-5.2760032751669309E-2"/>
    <n v="-2.0385390679611675"/>
    <n v="40.676480737864082"/>
    <x v="0"/>
    <n v="5150"/>
  </r>
  <r>
    <x v="486"/>
    <n v="385482.87199999997"/>
    <n v="406252.00760000001"/>
    <x v="475"/>
    <n v="38.602330462647707"/>
    <x v="486"/>
    <n v="-5.3878231974986528E-2"/>
    <n v="-2.0798253154416173"/>
    <n v="40.682155778089324"/>
    <x v="0"/>
    <n v="9986"/>
  </r>
  <r>
    <x v="487"/>
    <n v="499703.41470000002"/>
    <n v="526206.93720000004"/>
    <x v="476"/>
    <n v="38.62591131637938"/>
    <x v="487"/>
    <n v="-5.3038505882357381E-2"/>
    <n v="-2.0486606245652013"/>
    <n v="40.674571940944581"/>
    <x v="0"/>
    <n v="12937"/>
  </r>
  <r>
    <x v="488"/>
    <n v="461667.00390000001"/>
    <n v="496852.80200000003"/>
    <x v="477"/>
    <n v="37.788901031349759"/>
    <x v="488"/>
    <n v="-7.6214669453876505E-2"/>
    <n v="-2.8800686011295724"/>
    <n v="40.668969632479332"/>
    <x v="0"/>
    <n v="12217"/>
  </r>
  <r>
    <x v="489"/>
    <n v="259541.60870000001"/>
    <n v="273280.04639999999"/>
    <x v="478"/>
    <n v="38.616516693944355"/>
    <x v="489"/>
    <n v="-5.2933469006428258E-2"/>
    <n v="-2.0441061895551229"/>
    <n v="40.660622883499478"/>
    <x v="0"/>
    <n v="6721"/>
  </r>
  <r>
    <x v="490"/>
    <n v="320309.27439999999"/>
    <n v="336742.60239999997"/>
    <x v="479"/>
    <n v="38.67068385850537"/>
    <x v="490"/>
    <n v="-5.1304565035722796E-2"/>
    <n v="-1.9839826149945665"/>
    <n v="40.654666473499937"/>
    <x v="0"/>
    <n v="8283"/>
  </r>
  <r>
    <x v="491"/>
    <n v="239922.9982"/>
    <n v="251700.9664"/>
    <x v="480"/>
    <n v="38.753512873526084"/>
    <x v="491"/>
    <n v="-4.9090617774715697E-2"/>
    <n v="-1.9024338879017932"/>
    <n v="40.655946761427877"/>
    <x v="0"/>
    <n v="6191"/>
  </r>
  <r>
    <x v="492"/>
    <n v="224994.19510000001"/>
    <n v="242259.85949999999"/>
    <x v="481"/>
    <n v="37.75703894948817"/>
    <x v="492"/>
    <n v="-7.6738266035379948E-2"/>
    <n v="-2.8974096996140304"/>
    <n v="40.6544486491022"/>
    <x v="0"/>
    <n v="5959"/>
  </r>
  <r>
    <x v="493"/>
    <n v="117197.97169999999"/>
    <n v="115769.0863"/>
    <x v="482"/>
    <n v="41.150973209269658"/>
    <x v="493"/>
    <n v="1.2192065948526985E-2"/>
    <n v="0.5017153792134792"/>
    <n v="40.649257830056179"/>
    <x v="1"/>
    <n v="2848"/>
  </r>
  <r>
    <x v="494"/>
    <n v="330589.1998"/>
    <n v="355565.0417"/>
    <x v="483"/>
    <n v="37.790260608139"/>
    <x v="494"/>
    <n v="-7.5549479278542359E-2"/>
    <n v="-2.8550345107453197"/>
    <n v="40.64529511888432"/>
    <x v="0"/>
    <n v="8748"/>
  </r>
  <r>
    <x v="495"/>
    <n v="389972.11979999999"/>
    <n v="419827.13650000002"/>
    <x v="484"/>
    <n v="37.755070171362185"/>
    <x v="495"/>
    <n v="-7.6556797740595914E-2"/>
    <n v="-2.8904072707909805"/>
    <n v="40.645477442153165"/>
    <x v="0"/>
    <n v="10329"/>
  </r>
  <r>
    <x v="496"/>
    <n v="166536.00030000001"/>
    <n v="179243.05179999999"/>
    <x v="485"/>
    <n v="37.763265374149661"/>
    <x v="496"/>
    <n v="-7.6302129732366164E-2"/>
    <n v="-2.8814175736961403"/>
    <n v="40.644682947845801"/>
    <x v="0"/>
    <n v="4410"/>
  </r>
  <r>
    <x v="497"/>
    <n v="198442.91269999999"/>
    <n v="213676.4284"/>
    <x v="486"/>
    <n v="37.748318946167011"/>
    <x v="497"/>
    <n v="-7.6765229318265391E-2"/>
    <n v="-2.8977583602815358"/>
    <n v="40.646077306448547"/>
    <x v="0"/>
    <n v="5257"/>
  </r>
  <r>
    <x v="498"/>
    <n v="193182.15059999999"/>
    <n v="208039.1734"/>
    <x v="487"/>
    <n v="37.74563317702227"/>
    <x v="498"/>
    <n v="-7.6906809215323058E-2"/>
    <n v="-2.90289620945682"/>
    <n v="40.64852938647909"/>
    <x v="0"/>
    <n v="5118"/>
  </r>
  <r>
    <x v="499"/>
    <n v="166403.12700000001"/>
    <n v="179221.5723"/>
    <x v="485"/>
    <n v="37.733135374149661"/>
    <x v="499"/>
    <n v="-7.7032478482210204E-2"/>
    <n v="-2.9066769387755116"/>
    <n v="40.639812312925173"/>
    <x v="0"/>
    <n v="4410"/>
  </r>
  <r>
    <x v="500"/>
    <n v="149178.60149999999"/>
    <n v="160620.2071"/>
    <x v="488"/>
    <n v="37.747621837044534"/>
    <x v="500"/>
    <n v="-7.6697364668618442E-2"/>
    <n v="-2.8951431174089066"/>
    <n v="40.64276495445344"/>
    <x v="0"/>
    <n v="3952"/>
  </r>
  <r>
    <x v="501"/>
    <n v="380592.57760000002"/>
    <n v="409812.4327"/>
    <x v="4"/>
    <n v="37.742223086076955"/>
    <x v="501"/>
    <n v="-7.6774632033706755E-2"/>
    <n v="-2.8976452895676346"/>
    <n v="40.639868375644589"/>
    <x v="0"/>
    <n v="10084"/>
  </r>
  <r>
    <x v="502"/>
    <n v="413700.1789"/>
    <n v="445569.71909999999"/>
    <x v="489"/>
    <n v="37.732595667639551"/>
    <x v="502"/>
    <n v="-7.7035355132644326E-2"/>
    <n v="-2.9067439073330874"/>
    <n v="40.639339574972638"/>
    <x v="0"/>
    <n v="10964"/>
  </r>
  <r>
    <x v="503"/>
    <n v="177159.67310000001"/>
    <n v="190811.5779"/>
    <x v="490"/>
    <n v="37.733689691160812"/>
    <x v="503"/>
    <n v="-7.7059889314053998E-2"/>
    <n v="-2.9077539510117134"/>
    <n v="40.641443642172526"/>
    <x v="0"/>
    <n v="4695"/>
  </r>
  <r>
    <x v="504"/>
    <n v="196420.7635"/>
    <n v="211510.7861"/>
    <x v="491"/>
    <n v="37.736938232468781"/>
    <x v="504"/>
    <n v="-7.6824986987691843E-2"/>
    <n v="-2.8991397886647476"/>
    <n v="40.636078021133528"/>
    <x v="0"/>
    <n v="5205"/>
  </r>
  <r>
    <x v="505"/>
    <n v="137940.87220000001"/>
    <n v="147846.05220000001"/>
    <x v="492"/>
    <n v="37.916677350192415"/>
    <x v="505"/>
    <n v="-7.1807433446110916E-2"/>
    <n v="-2.7226992853216032"/>
    <n v="40.639376635514019"/>
    <x v="0"/>
    <n v="3638"/>
  </r>
  <r>
    <x v="506"/>
    <n v="166176.2838"/>
    <n v="178568.18049999999"/>
    <x v="493"/>
    <n v="37.818908466090122"/>
    <x v="506"/>
    <n v="-7.4570789625516845E-2"/>
    <n v="-2.8201858670914888"/>
    <n v="40.63909433318161"/>
    <x v="0"/>
    <n v="4394"/>
  </r>
  <r>
    <x v="507"/>
    <n v="84604.377569999997"/>
    <n v="81763.267389999994"/>
    <x v="494"/>
    <n v="42.04988944831014"/>
    <x v="507"/>
    <n v="3.3581125015065855E-2"/>
    <n v="1.4120825944334001"/>
    <n v="40.637806853876739"/>
    <x v="1"/>
    <n v="2012"/>
  </r>
  <r>
    <x v="508"/>
    <n v="321821.02029999997"/>
    <n v="346487.52029999997"/>
    <x v="495"/>
    <n v="37.745838646493077"/>
    <x v="508"/>
    <n v="-7.6646640349987111E-2"/>
    <n v="-2.8930917194463959"/>
    <n v="40.638930365939473"/>
    <x v="0"/>
    <n v="8526"/>
  </r>
  <r>
    <x v="509"/>
    <n v="418715.4106"/>
    <n v="450936.27929999999"/>
    <x v="496"/>
    <n v="37.735707516222064"/>
    <x v="509"/>
    <n v="-7.6951714420610801E-2"/>
    <n v="-2.9038273882480183"/>
    <n v="40.639534904470082"/>
    <x v="0"/>
    <n v="11096"/>
  </r>
  <r>
    <x v="510"/>
    <n v="169541.2659"/>
    <n v="182419.14139999999"/>
    <x v="497"/>
    <n v="37.768159033192248"/>
    <x v="510"/>
    <n v="-7.5957174388421242E-2"/>
    <n v="-2.868762642013813"/>
    <n v="40.636921675206061"/>
    <x v="0"/>
    <n v="4489"/>
  </r>
  <r>
    <x v="511"/>
    <n v="256434.5099"/>
    <n v="276173.79249999998"/>
    <x v="498"/>
    <n v="37.738706387049305"/>
    <x v="511"/>
    <n v="-7.6975921094620092E-2"/>
    <n v="-2.9049716850625416"/>
    <n v="40.643678072111847"/>
    <x v="0"/>
    <n v="6795"/>
  </r>
  <r>
    <x v="512"/>
    <n v="199385.9124"/>
    <n v="214719.75279999999"/>
    <x v="499"/>
    <n v="37.741039636570129"/>
    <x v="512"/>
    <n v="-7.690533506318066E-2"/>
    <n v="-2.9024872988832087"/>
    <n v="40.643526935453338"/>
    <x v="0"/>
    <n v="5283"/>
  </r>
  <r>
    <x v="513"/>
    <n v="243554.2243"/>
    <n v="262251.08010000002"/>
    <x v="500"/>
    <n v="37.742790066635671"/>
    <x v="513"/>
    <n v="-7.6766707100797429E-2"/>
    <n v="-2.897389710212309"/>
    <n v="40.64017977684798"/>
    <x v="0"/>
    <n v="6453"/>
  </r>
  <r>
    <x v="514"/>
    <n v="217746.0129"/>
    <n v="234483.41699999999"/>
    <x v="501"/>
    <n v="37.73761055459272"/>
    <x v="514"/>
    <n v="-7.6866638691045278E-2"/>
    <n v="-2.9007632755632571"/>
    <n v="40.638373830155977"/>
    <x v="0"/>
    <n v="5770"/>
  </r>
  <r>
    <x v="515"/>
    <n v="472160.75209999998"/>
    <n v="508265.147"/>
    <x v="502"/>
    <n v="37.75171920524506"/>
    <x v="515"/>
    <n v="-7.6466319446122422E-2"/>
    <n v="-2.8867350203885849"/>
    <n v="40.638454225633645"/>
    <x v="0"/>
    <n v="12507"/>
  </r>
  <r>
    <x v="516"/>
    <n v="546135.46239999996"/>
    <n v="588250.18119999999"/>
    <x v="503"/>
    <n v="37.729565623488774"/>
    <x v="516"/>
    <n v="-7.711405264716982E-2"/>
    <n v="-2.9094797098445611"/>
    <n v="40.639045333333335"/>
    <x v="0"/>
    <n v="14475"/>
  </r>
  <r>
    <x v="517"/>
    <n v="264637.3653"/>
    <n v="284828.65970000002"/>
    <x v="504"/>
    <n v="37.756793451276927"/>
    <x v="517"/>
    <n v="-7.6297972423926691E-2"/>
    <n v="-2.880766785561427"/>
    <n v="40.637560236838354"/>
    <x v="0"/>
    <n v="7009"/>
  </r>
  <r>
    <x v="518"/>
    <n v="440905.9987"/>
    <n v="474967.32760000002"/>
    <x v="505"/>
    <n v="37.722963612251881"/>
    <x v="518"/>
    <n v="-7.7253040331564951E-2"/>
    <n v="-2.9142136293634522"/>
    <n v="40.637177241615333"/>
    <x v="0"/>
    <n v="11688"/>
  </r>
  <r>
    <x v="519"/>
    <n v="334318.89779999998"/>
    <n v="360168.82709999999"/>
    <x v="506"/>
    <n v="37.720737650908269"/>
    <x v="519"/>
    <n v="-7.7321172898411075E-2"/>
    <n v="-2.9166116777614803"/>
    <n v="40.63734932866975"/>
    <x v="0"/>
    <n v="8863"/>
  </r>
  <r>
    <x v="520"/>
    <n v="269835.82860000001"/>
    <n v="290492.10629999998"/>
    <x v="507"/>
    <n v="37.749836121992168"/>
    <x v="520"/>
    <n v="-7.6551278631795366E-2"/>
    <n v="-2.8897982232792359"/>
    <n v="40.639634345271404"/>
    <x v="0"/>
    <n v="7148"/>
  </r>
  <r>
    <x v="521"/>
    <n v="201146.48929999999"/>
    <n v="216428.50039999999"/>
    <x v="508"/>
    <n v="37.76689622606083"/>
    <x v="521"/>
    <n v="-7.5974535539656593E-2"/>
    <n v="-2.8693223995493824"/>
    <n v="40.636218625610212"/>
    <x v="0"/>
    <n v="5326"/>
  </r>
  <r>
    <x v="522"/>
    <n v="293461.08390000003"/>
    <n v="315937.86219999997"/>
    <x v="509"/>
    <n v="37.744190855305469"/>
    <x v="522"/>
    <n v="-7.6592023723524263E-2"/>
    <n v="-2.8909039614147858"/>
    <n v="40.635094816720255"/>
    <x v="0"/>
    <n v="7775"/>
  </r>
  <r>
    <x v="523"/>
    <n v="349413.0098"/>
    <n v="376094.7218"/>
    <x v="510"/>
    <n v="37.753971885467315"/>
    <x v="523"/>
    <n v="-7.6361529913474904E-2"/>
    <n v="-2.8829510534846037"/>
    <n v="40.636922938951919"/>
    <x v="0"/>
    <n v="9255"/>
  </r>
  <r>
    <x v="524"/>
    <n v="179602.91519999999"/>
    <n v="193348.5914"/>
    <x v="511"/>
    <n v="37.747565195460275"/>
    <x v="524"/>
    <n v="-7.6533703167864939E-2"/>
    <n v="-2.888960949978987"/>
    <n v="40.636526145439262"/>
    <x v="0"/>
    <n v="4758"/>
  </r>
  <r>
    <x v="525"/>
    <n v="109810.5457"/>
    <n v="106166.0816"/>
    <x v="512"/>
    <n v="42.024701760428627"/>
    <x v="525"/>
    <n v="3.318865302752063E-2"/>
    <n v="1.3947432453119006"/>
    <n v="40.629958515116726"/>
    <x v="1"/>
    <n v="2613"/>
  </r>
  <r>
    <x v="526"/>
    <n v="76956.92035"/>
    <n v="74212.790569999997"/>
    <x v="513"/>
    <n v="42.052961939890707"/>
    <x v="526"/>
    <n v="3.5657998884566888E-2"/>
    <n v="1.4995244699453565"/>
    <n v="40.553437469945351"/>
    <x v="1"/>
    <n v="1830"/>
  </r>
  <r>
    <x v="527"/>
    <n v="71199.588399999993"/>
    <n v="68669.394960000005"/>
    <x v="514"/>
    <n v="42.030453600944504"/>
    <x v="527"/>
    <n v="3.5536630152766285E-2"/>
    <n v="1.4936206847697662"/>
    <n v="40.536832916174738"/>
    <x v="1"/>
    <n v="1694"/>
  </r>
  <r>
    <x v="528"/>
    <n v="68988.346669999999"/>
    <n v="66539.165200000003"/>
    <x v="515"/>
    <n v="42.014827448233859"/>
    <x v="528"/>
    <n v="3.5501379409995884E-2"/>
    <n v="1.49158433008526"/>
    <n v="40.523243118148599"/>
    <x v="1"/>
    <n v="1642"/>
  </r>
  <r>
    <x v="529"/>
    <n v="155156.8792"/>
    <n v="149423.24359999999"/>
    <x v="516"/>
    <n v="42.047934742547426"/>
    <x v="529"/>
    <n v="3.695379560070456E-2"/>
    <n v="1.5538307859078628"/>
    <n v="40.494103956639563"/>
    <x v="1"/>
    <n v="3690"/>
  </r>
  <r>
    <x v="530"/>
    <n v="185109.52309999999"/>
    <n v="178347.3694"/>
    <x v="517"/>
    <n v="42.032135127157126"/>
    <x v="530"/>
    <n v="3.6530555461195477E-2"/>
    <n v="1.5354572434150739"/>
    <n v="40.496677883742052"/>
    <x v="1"/>
    <n v="4404"/>
  </r>
  <r>
    <x v="531"/>
    <n v="83779.544009999998"/>
    <n v="80659.821809999994"/>
    <x v="518"/>
    <n v="42.058004021084336"/>
    <x v="531"/>
    <n v="3.7237278345984205E-2"/>
    <n v="1.5661256024096417"/>
    <n v="40.491878418674695"/>
    <x v="1"/>
    <n v="1992"/>
  </r>
  <r>
    <x v="532"/>
    <n v="149501.57449999999"/>
    <n v="143962.8719"/>
    <x v="198"/>
    <n v="42.030243041889229"/>
    <x v="532"/>
    <n v="3.7047787747546364E-2"/>
    <n v="1.5571275231936994"/>
    <n v="40.473115518695529"/>
    <x v="1"/>
    <n v="3557"/>
  </r>
  <r>
    <x v="533"/>
    <n v="100477.2968"/>
    <n v="96810.103579999995"/>
    <x v="519"/>
    <n v="41.952942296450935"/>
    <x v="533"/>
    <n v="3.6497729704049929E-2"/>
    <n v="1.5311871482254702"/>
    <n v="40.421755148225465"/>
    <x v="1"/>
    <n v="2395"/>
  </r>
  <r>
    <x v="534"/>
    <n v="89072.705350000004"/>
    <n v="85639.307750000007"/>
    <x v="520"/>
    <n v="42.015427051886796"/>
    <x v="534"/>
    <n v="3.8546012344734475E-2"/>
    <n v="1.6195271698113203"/>
    <n v="40.395899882075476"/>
    <x v="1"/>
    <n v="2120"/>
  </r>
  <r>
    <x v="535"/>
    <n v="78746.595860000001"/>
    <n v="75673.781990000003"/>
    <x v="521"/>
    <n v="41.998184458666664"/>
    <x v="535"/>
    <n v="3.9021545457825435E-2"/>
    <n v="1.6388340639999939"/>
    <n v="40.35935039466667"/>
    <x v="1"/>
    <n v="1875"/>
  </r>
  <r>
    <x v="536"/>
    <n v="141913.3824"/>
    <n v="136017.75039999999"/>
    <x v="522"/>
    <n v="42.03595450236967"/>
    <x v="536"/>
    <n v="4.1543876273644594E-2"/>
    <n v="1.7463364928909968"/>
    <n v="40.289618009478673"/>
    <x v="1"/>
    <n v="3376"/>
  </r>
  <r>
    <x v="537"/>
    <n v="169304.27830000001"/>
    <n v="162287.90919999999"/>
    <x v="523"/>
    <n v="42.042284156940653"/>
    <x v="537"/>
    <n v="4.1442361471617992E-2"/>
    <n v="1.7423315371244144"/>
    <n v="40.299952619816239"/>
    <x v="1"/>
    <n v="4027"/>
  </r>
  <r>
    <x v="538"/>
    <n v="89512.242840000006"/>
    <n v="85781.807029999996"/>
    <x v="524"/>
    <n v="42.064023890977445"/>
    <x v="538"/>
    <n v="4.1675146232991088E-2"/>
    <n v="1.7530243468045157"/>
    <n v="40.31099954417293"/>
    <x v="1"/>
    <n v="2128"/>
  </r>
  <r>
    <x v="539"/>
    <n v="85984.075339999996"/>
    <n v="82427.231539999993"/>
    <x v="525"/>
    <n v="42.025452267839682"/>
    <x v="539"/>
    <n v="4.1366308655823275E-2"/>
    <n v="1.7384378299120229"/>
    <n v="40.28701443792766"/>
    <x v="1"/>
    <n v="2046"/>
  </r>
  <r>
    <x v="540"/>
    <n v="64956.462079999998"/>
    <n v="62169.777119999999"/>
    <x v="526"/>
    <n v="42.015822820181114"/>
    <x v="540"/>
    <n v="4.2900811878700131E-2"/>
    <n v="1.8025129107373914"/>
    <n v="40.213309909443723"/>
    <x v="1"/>
    <n v="1546"/>
  </r>
  <r>
    <x v="541"/>
    <n v="106613.4328"/>
    <n v="113428.4743"/>
    <x v="527"/>
    <n v="37.77938795180723"/>
    <x v="541"/>
    <n v="-6.3922915912337147E-2"/>
    <n v="-2.4149686392629306"/>
    <n v="40.194356591070161"/>
    <x v="0"/>
    <n v="2822"/>
  </r>
  <r>
    <x v="542"/>
    <n v="183843.8173"/>
    <n v="195365.73069999999"/>
    <x v="528"/>
    <n v="37.789068304213771"/>
    <x v="542"/>
    <n v="-6.2672291998801907E-2"/>
    <n v="-2.368327523124357"/>
    <n v="40.157395827338128"/>
    <x v="0"/>
    <n v="4865"/>
  </r>
  <r>
    <x v="543"/>
    <n v="319579.7941"/>
    <n v="339241.69179999997"/>
    <x v="529"/>
    <n v="37.820093976331364"/>
    <x v="543"/>
    <n v="-6.1524220438816446E-2"/>
    <n v="-2.3268517988165627"/>
    <n v="40.146945775147927"/>
    <x v="0"/>
    <n v="8450"/>
  </r>
  <r>
    <x v="544"/>
    <n v="369245.75870000001"/>
    <n v="392017.97350000002"/>
    <x v="530"/>
    <n v="37.79383405322416"/>
    <x v="544"/>
    <n v="-6.1672244740667931E-2"/>
    <n v="-2.3308305834186243"/>
    <n v="40.124664636642784"/>
    <x v="0"/>
    <n v="9770"/>
  </r>
  <r>
    <x v="545"/>
    <n v="185648.49110000001"/>
    <n v="197095.10870000001"/>
    <x v="531"/>
    <n v="37.779505718355722"/>
    <x v="545"/>
    <n v="-6.165747716114886E-2"/>
    <n v="-2.3293890109890114"/>
    <n v="40.108894729344733"/>
    <x v="0"/>
    <n v="4914"/>
  </r>
  <r>
    <x v="546"/>
    <n v="165557.76180000001"/>
    <n v="175871.1109"/>
    <x v="532"/>
    <n v="37.755475895096922"/>
    <x v="546"/>
    <n v="-6.2294567091689151E-2"/>
    <n v="-2.3519610262257729"/>
    <n v="40.107436921322694"/>
    <x v="0"/>
    <n v="4385"/>
  </r>
  <r>
    <x v="547"/>
    <n v="212465.08319999999"/>
    <n v="225678.9345"/>
    <x v="533"/>
    <n v="37.758145228363247"/>
    <x v="547"/>
    <n v="-6.2193048857639349E-2"/>
    <n v="-2.348294170961438"/>
    <n v="40.106439399324685"/>
    <x v="0"/>
    <n v="5627"/>
  </r>
  <r>
    <x v="548"/>
    <n v="305231.9081"/>
    <n v="324248.84149999998"/>
    <x v="534"/>
    <n v="37.748195411822905"/>
    <x v="548"/>
    <n v="-6.2303228775707348E-2"/>
    <n v="-2.3518344546129057"/>
    <n v="40.100029866435811"/>
    <x v="0"/>
    <n v="8086"/>
  </r>
  <r>
    <x v="549"/>
    <n v="250481.6177"/>
    <n v="266061.92839999998"/>
    <x v="535"/>
    <n v="37.728817246573279"/>
    <x v="549"/>
    <n v="-6.2201413592994262E-2"/>
    <n v="-2.3467857659286011"/>
    <n v="40.07560301250188"/>
    <x v="0"/>
    <n v="6639"/>
  </r>
  <r>
    <x v="550"/>
    <n v="268410.48070000001"/>
    <n v="284592.99469999998"/>
    <x v="536"/>
    <n v="37.783006855292797"/>
    <x v="550"/>
    <n v="-6.0290171821148139E-2"/>
    <n v="-2.2779439752252202"/>
    <n v="40.060950830518017"/>
    <x v="0"/>
    <n v="7104"/>
  </r>
  <r>
    <x v="551"/>
    <n v="316365.4987"/>
    <n v="335025.07640000002"/>
    <x v="537"/>
    <n v="37.824665076518414"/>
    <x v="551"/>
    <n v="-5.898107656073568E-2"/>
    <n v="-2.2309394667623152"/>
    <n v="40.05560454328073"/>
    <x v="0"/>
    <n v="8364"/>
  </r>
  <r>
    <x v="552"/>
    <n v="156873.04370000001"/>
    <n v="165968.62450000001"/>
    <x v="538"/>
    <n v="37.837203014954177"/>
    <x v="552"/>
    <n v="-5.798052097079312E-2"/>
    <n v="-2.1938207428847036"/>
    <n v="40.031023757838881"/>
    <x v="0"/>
    <n v="4146"/>
  </r>
  <r>
    <x v="553"/>
    <n v="173987.75150000001"/>
    <n v="184188.97899999999"/>
    <x v="539"/>
    <n v="37.815203542708112"/>
    <x v="553"/>
    <n v="-5.8631871565970425E-2"/>
    <n v="-2.2171761573570876"/>
    <n v="40.032379700065199"/>
    <x v="0"/>
    <n v="4601"/>
  </r>
  <r>
    <x v="554"/>
    <n v="135753.766"/>
    <n v="143799.5987"/>
    <x v="540"/>
    <n v="37.782846089618701"/>
    <x v="554"/>
    <n v="-5.9267841600799488E-2"/>
    <n v="-2.2393077372669126"/>
    <n v="40.022153826885614"/>
    <x v="0"/>
    <n v="3593"/>
  </r>
  <r>
    <x v="555"/>
    <n v="84426.509409999999"/>
    <n v="84588.963040000002"/>
    <x v="541"/>
    <n v="39.936854025543994"/>
    <x v="555"/>
    <n v="-1.9242016652741255E-3"/>
    <n v="-7.6846561021760351E-2"/>
    <n v="40.013700586565754"/>
    <x v="0"/>
    <n v="2114"/>
  </r>
  <r>
    <x v="556"/>
    <n v="70815.190289999999"/>
    <n v="71913.068580000006"/>
    <x v="542"/>
    <n v="39.407451469115195"/>
    <x v="556"/>
    <n v="-1.5503429214890384E-2"/>
    <n v="-0.61095063439065456"/>
    <n v="40.018402103505849"/>
    <x v="0"/>
    <n v="1797"/>
  </r>
  <r>
    <x v="557"/>
    <n v="125983.15180000001"/>
    <n v="127884.58719999999"/>
    <x v="543"/>
    <n v="39.431346416275431"/>
    <x v="557"/>
    <n v="-1.5092775286480708E-2"/>
    <n v="-0.59512845070422316"/>
    <n v="40.026474866979655"/>
    <x v="0"/>
    <n v="3195"/>
  </r>
  <r>
    <x v="558"/>
    <n v="142378.18400000001"/>
    <n v="143924.56510000001"/>
    <x v="544"/>
    <n v="39.604501808066765"/>
    <x v="558"/>
    <n v="-1.0861081779214143E-2"/>
    <n v="-0.43014773296244613"/>
    <n v="40.034649541029211"/>
    <x v="0"/>
    <n v="3595"/>
  </r>
  <r>
    <x v="559"/>
    <n v="57427.680710000001"/>
    <n v="58723.040529999998"/>
    <x v="545"/>
    <n v="39.146339952283576"/>
    <x v="559"/>
    <n v="-2.2556366615976434E-2"/>
    <n v="-0.8829991956373533"/>
    <n v="40.029339147920929"/>
    <x v="0"/>
    <n v="1467"/>
  </r>
  <r>
    <x v="560"/>
    <n v="63331.330999999998"/>
    <n v="64690.059070000003"/>
    <x v="546"/>
    <n v="39.336230434782607"/>
    <x v="560"/>
    <n v="-2.145427939924403E-2"/>
    <n v="-0.84393047826087297"/>
    <n v="40.18016091304348"/>
    <x v="0"/>
    <n v="1610"/>
  </r>
  <r>
    <x v="561"/>
    <n v="51241.028550000003"/>
    <n v="52509.916219999999"/>
    <x v="547"/>
    <n v="39.205071576128539"/>
    <x v="561"/>
    <n v="-2.4763118655236213E-2"/>
    <n v="-0.97083983932670037"/>
    <n v="40.175911415455239"/>
    <x v="0"/>
    <n v="1307"/>
  </r>
  <r>
    <x v="562"/>
    <n v="80326.44081"/>
    <n v="81730.270699999994"/>
    <x v="548"/>
    <n v="39.183629663414635"/>
    <x v="562"/>
    <n v="-1.7476560343567819E-2"/>
    <n v="-0.68479506829267933"/>
    <n v="39.868424731707314"/>
    <x v="0"/>
    <n v="2050"/>
  </r>
  <r>
    <x v="563"/>
    <n v="71912.565730000002"/>
    <n v="73762.62917"/>
    <x v="549"/>
    <n v="38.892680221741486"/>
    <x v="563"/>
    <n v="-2.5726566994510681E-2"/>
    <n v="-1.0005751433207095"/>
    <n v="39.893255365062195"/>
    <x v="0"/>
    <n v="1849"/>
  </r>
  <r>
    <x v="564"/>
    <n v="119204.3095"/>
    <n v="122669.6994"/>
    <x v="550"/>
    <n v="38.828765309446254"/>
    <x v="564"/>
    <n v="-2.9071011899951441E-2"/>
    <n v="-1.128791498371335"/>
    <n v="39.957556807817589"/>
    <x v="0"/>
    <n v="3070"/>
  </r>
  <r>
    <x v="565"/>
    <n v="129441.2787"/>
    <n v="132493.43150000001"/>
    <x v="551"/>
    <n v="38.964864148103551"/>
    <x v="565"/>
    <n v="-2.3579439500700874E-2"/>
    <n v="-0.91876965683323419"/>
    <n v="39.883633804936785"/>
    <x v="0"/>
    <n v="3322"/>
  </r>
  <r>
    <x v="566"/>
    <n v="77645.749939999994"/>
    <n v="79555.634739999994"/>
    <x v="260"/>
    <n v="39.175454056508578"/>
    <x v="566"/>
    <n v="-2.4597415846660569E-2"/>
    <n v="-0.9636149344096836"/>
    <n v="40.139068990918261"/>
    <x v="0"/>
    <n v="1982"/>
  </r>
  <r>
    <x v="567"/>
    <n v="69926.65036"/>
    <n v="71362.51784"/>
    <x v="552"/>
    <n v="39.13075006155568"/>
    <x v="567"/>
    <n v="-2.0533909069114474E-2"/>
    <n v="-0.80350726357023206"/>
    <n v="39.934257325125913"/>
    <x v="0"/>
    <n v="1787"/>
  </r>
  <r>
    <x v="568"/>
    <n v="71973.044299999994"/>
    <n v="73851.788400000005"/>
    <x v="553"/>
    <n v="38.988648049837487"/>
    <x v="568"/>
    <n v="-2.6103440784983039E-2"/>
    <n v="-1.0177378656554765"/>
    <n v="40.006385915492963"/>
    <x v="0"/>
    <n v="1846"/>
  </r>
  <r>
    <x v="569"/>
    <n v="44304.898359999999"/>
    <n v="45468.83698"/>
    <x v="554"/>
    <n v="38.795882977232921"/>
    <x v="569"/>
    <n v="-2.6271104620134846E-2"/>
    <n v="-1.0192107005253987"/>
    <n v="39.81509367775832"/>
    <x v="0"/>
    <n v="1142"/>
  </r>
  <r>
    <x v="570"/>
    <n v="66799.723729999998"/>
    <n v="69323.647870000001"/>
    <x v="555"/>
    <n v="38.523485426758938"/>
    <x v="570"/>
    <n v="-3.7783451772967429E-2"/>
    <n v="-1.4555502537485623"/>
    <n v="39.979035680507501"/>
    <x v="0"/>
    <n v="1734"/>
  </r>
  <r>
    <x v="571"/>
    <n v="125689.5928"/>
    <n v="130428.2264"/>
    <x v="556"/>
    <n v="38.566920159558144"/>
    <x v="571"/>
    <n v="-3.7701081644366669E-2"/>
    <n v="-1.4540146057072718"/>
    <n v="40.020934765265416"/>
    <x v="0"/>
    <n v="3259"/>
  </r>
  <r>
    <x v="572"/>
    <n v="138624.94500000001"/>
    <n v="143537.3952"/>
    <x v="557"/>
    <n v="38.80877519596865"/>
    <x v="572"/>
    <n v="-3.5436985745963628E-2"/>
    <n v="-1.3752660134378445"/>
    <n v="40.184041209406494"/>
    <x v="0"/>
    <n v="3572"/>
  </r>
  <r>
    <x v="573"/>
    <n v="81715.045329999994"/>
    <n v="85089.223429999998"/>
    <x v="558"/>
    <n v="38.745872607871028"/>
    <x v="573"/>
    <n v="-4.1292005485325779E-2"/>
    <n v="-1.5998947842579412"/>
    <n v="40.34576739212897"/>
    <x v="0"/>
    <n v="2109"/>
  </r>
  <r>
    <x v="574"/>
    <n v="86842.861359999995"/>
    <n v="90242.794099999999"/>
    <x v="559"/>
    <n v="38.734550115967885"/>
    <x v="574"/>
    <n v="-3.9150399776739966E-2"/>
    <n v="-1.5164731222123109"/>
    <n v="40.251023238180196"/>
    <x v="0"/>
    <n v="2242"/>
  </r>
  <r>
    <x v="575"/>
    <n v="56976.785279999996"/>
    <n v="59094.076860000001"/>
    <x v="560"/>
    <n v="38.65453546811397"/>
    <x v="575"/>
    <n v="-3.7160600928870177E-2"/>
    <n v="-1.4364257666214471"/>
    <n v="40.090961234735417"/>
    <x v="0"/>
    <n v="1474"/>
  </r>
  <r>
    <x v="576"/>
    <n v="53433.668030000001"/>
    <n v="55516.525560000002"/>
    <x v="561"/>
    <n v="38.692011607530773"/>
    <x v="576"/>
    <n v="-3.898024610308605E-2"/>
    <n v="-1.5082241346850154"/>
    <n v="40.200235742215789"/>
    <x v="0"/>
    <n v="1381"/>
  </r>
  <r>
    <x v="577"/>
    <n v="55134.081819999999"/>
    <n v="57064.750699999997"/>
    <x v="562"/>
    <n v="38.744962628250178"/>
    <x v="577"/>
    <n v="-3.5017702594616229E-2"/>
    <n v="-1.3567595783555788"/>
    <n v="40.101722206605757"/>
    <x v="0"/>
    <n v="1423"/>
  </r>
  <r>
    <x v="578"/>
    <n v="145033.61079999999"/>
    <n v="149876.87330000001"/>
    <x v="563"/>
    <n v="38.779040320855614"/>
    <x v="578"/>
    <n v="-3.3394069645544616E-2"/>
    <n v="-1.2949899732620338"/>
    <n v="40.074030294117648"/>
    <x v="0"/>
    <n v="3740"/>
  </r>
  <r>
    <x v="579"/>
    <n v="173306.90650000001"/>
    <n v="178699.97589999999"/>
    <x v="564"/>
    <n v="38.919134628340444"/>
    <x v="579"/>
    <n v="-3.1118606343596457E-2"/>
    <n v="-1.211109229732763"/>
    <n v="40.130243858073207"/>
    <x v="0"/>
    <n v="4453"/>
  </r>
  <r>
    <x v="580"/>
    <n v="88154.338709999996"/>
    <n v="90828.661699999997"/>
    <x v="565"/>
    <n v="39.040894025686448"/>
    <x v="580"/>
    <n v="-3.0336827762927027E-2"/>
    <n v="-1.1843768777679315"/>
    <n v="40.22527090345438"/>
    <x v="0"/>
    <n v="2258"/>
  </r>
  <r>
    <x v="581"/>
    <n v="81142.027849999999"/>
    <n v="83114.576809999999"/>
    <x v="566"/>
    <n v="39.123446407907423"/>
    <x v="581"/>
    <n v="-2.4309830703842832E-2"/>
    <n v="-0.95108435872710118"/>
    <n v="40.074530766634524"/>
    <x v="0"/>
    <n v="2074"/>
  </r>
  <r>
    <x v="582"/>
    <n v="77672.88278"/>
    <n v="80417.746440000003"/>
    <x v="567"/>
    <n v="38.700987932237169"/>
    <x v="582"/>
    <n v="-3.5338763822820002E-2"/>
    <n v="-1.3676450722471358"/>
    <n v="40.068633004484305"/>
    <x v="0"/>
    <n v="2007"/>
  </r>
  <r>
    <x v="583"/>
    <n v="75483.422550000003"/>
    <n v="78024.284679999997"/>
    <x v="568"/>
    <n v="38.749190220739223"/>
    <x v="583"/>
    <n v="-3.366119399682671E-2"/>
    <n v="-1.3043440092402392"/>
    <n v="40.053534229979462"/>
    <x v="0"/>
    <n v="1948"/>
  </r>
  <r>
    <x v="584"/>
    <n v="74354.570099999997"/>
    <n v="76978.305240000002"/>
    <x v="569"/>
    <n v="38.686040634755464"/>
    <x v="584"/>
    <n v="-3.528680397817275E-2"/>
    <n v="-1.36510673257024"/>
    <n v="40.051147367325704"/>
    <x v="0"/>
    <n v="1922"/>
  </r>
  <r>
    <x v="585"/>
    <n v="120326.8763"/>
    <n v="123707.7616"/>
    <x v="570"/>
    <n v="38.965957351036273"/>
    <x v="585"/>
    <n v="-2.8097507422786761E-2"/>
    <n v="-1.0948462759067326"/>
    <n v="40.060803626943006"/>
    <x v="0"/>
    <n v="3088"/>
  </r>
  <r>
    <x v="586"/>
    <n v="131867.99350000001"/>
    <n v="135721.42600000001"/>
    <x v="571"/>
    <n v="38.922076003541918"/>
    <x v="586"/>
    <n v="-2.9221893787289597E-2"/>
    <n v="-1.1373767709563154"/>
    <n v="40.059452774498233"/>
    <x v="0"/>
    <n v="3388"/>
  </r>
  <r>
    <x v="587"/>
    <n v="75504.002739999996"/>
    <n v="77978.694470000002"/>
    <x v="572"/>
    <n v="38.839507582304527"/>
    <x v="587"/>
    <n v="-3.2775636260261212E-2"/>
    <n v="-1.2729895730452654"/>
    <n v="40.112497155349793"/>
    <x v="0"/>
    <n v="1944"/>
  </r>
  <r>
    <x v="588"/>
    <n v="69968.077699999994"/>
    <n v="72665.725529999996"/>
    <x v="573"/>
    <n v="38.613729415011036"/>
    <x v="588"/>
    <n v="-3.8555408676034013E-2"/>
    <n v="-1.4887681181015466"/>
    <n v="40.102497533112583"/>
    <x v="0"/>
    <n v="1812"/>
  </r>
  <r>
    <x v="589"/>
    <n v="60187.14905"/>
    <n v="62538.493280000002"/>
    <x v="574"/>
    <n v="38.507453007037746"/>
    <x v="589"/>
    <n v="-3.9067213966998866E-2"/>
    <n v="-1.504378905950098"/>
    <n v="40.011831912987844"/>
    <x v="0"/>
    <n v="1563"/>
  </r>
  <r>
    <x v="590"/>
    <n v="44698.700750000004"/>
    <n v="46849.567150000003"/>
    <x v="575"/>
    <n v="38.171392613151156"/>
    <x v="590"/>
    <n v="-4.8119215187703165E-2"/>
    <n v="-1.8367774551665264"/>
    <n v="40.008170068317682"/>
    <x v="0"/>
    <n v="1171"/>
  </r>
  <r>
    <x v="591"/>
    <n v="39463.409059999998"/>
    <n v="41414.418369999999"/>
    <x v="576"/>
    <n v="38.128897642512072"/>
    <x v="591"/>
    <n v="-4.9438438200655577E-2"/>
    <n v="-1.8850331497584563"/>
    <n v="40.013930792270529"/>
    <x v="0"/>
    <n v="1035"/>
  </r>
  <r>
    <x v="592"/>
    <n v="85794.096900000004"/>
    <n v="89898.894230000005"/>
    <x v="252"/>
    <n v="38.181618558077439"/>
    <x v="592"/>
    <n v="-4.7844752475038888E-2"/>
    <n v="-1.8267900890075666"/>
    <n v="40.008408647085005"/>
    <x v="0"/>
    <n v="2247"/>
  </r>
  <r>
    <x v="593"/>
    <n v="117288.0101"/>
    <n v="122504.3572"/>
    <x v="577"/>
    <n v="38.22946874185137"/>
    <x v="593"/>
    <n v="-4.4474683265173745E-2"/>
    <n v="-1.7002435136896992"/>
    <n v="39.92971225554107"/>
    <x v="0"/>
    <n v="3068"/>
  </r>
  <r>
    <x v="594"/>
    <n v="71056.061000000002"/>
    <n v="74589.172869999995"/>
    <x v="578"/>
    <n v="38.079346730975352"/>
    <x v="594"/>
    <n v="-4.9722878249611857E-2"/>
    <n v="-1.8934147213290373"/>
    <n v="39.97276145230439"/>
    <x v="0"/>
    <n v="1866"/>
  </r>
  <r>
    <x v="595"/>
    <n v="64394.07445"/>
    <n v="67505.254140000005"/>
    <x v="372"/>
    <n v="38.103002633136093"/>
    <x v="595"/>
    <n v="-4.8314689147613089E-2"/>
    <n v="-1.8409347278106551"/>
    <n v="39.943937360946748"/>
    <x v="0"/>
    <n v="1690"/>
  </r>
  <r>
    <x v="596"/>
    <n v="35165.97208"/>
    <n v="36841.967320000003"/>
    <x v="579"/>
    <n v="38.140967548806941"/>
    <x v="596"/>
    <n v="-4.7659573754629557E-2"/>
    <n v="-1.8177822559652981"/>
    <n v="39.958749804772239"/>
    <x v="0"/>
    <n v="922"/>
  </r>
  <r>
    <x v="597"/>
    <n v="23234.183199999999"/>
    <n v="24104.08598"/>
    <x v="580"/>
    <n v="38.467190728476822"/>
    <x v="597"/>
    <n v="-3.7440643921581904E-2"/>
    <n v="-1.4402363907284723"/>
    <n v="39.907427119205295"/>
    <x v="0"/>
    <n v="604"/>
  </r>
  <r>
    <x v="598"/>
    <n v="24754.957180000001"/>
    <n v="25407.174070000001"/>
    <x v="581"/>
    <n v="38.499155800933131"/>
    <x v="598"/>
    <n v="-2.6346920548379622E-2"/>
    <n v="-1.0143341990668731"/>
    <n v="39.513490000000004"/>
    <x v="0"/>
    <n v="643"/>
  </r>
  <r>
    <x v="599"/>
    <n v="76691.283030000006"/>
    <n v="78691.956319999998"/>
    <x v="582"/>
    <n v="38.230948668993022"/>
    <x v="599"/>
    <n v="-2.608736235664972E-2"/>
    <n v="-0.99734461116649697"/>
    <n v="39.228293280159519"/>
    <x v="0"/>
    <n v="2006"/>
  </r>
  <r>
    <x v="600"/>
    <n v="102231.2118"/>
    <n v="104713.00750000001"/>
    <x v="128"/>
    <n v="38.188723122898772"/>
    <x v="600"/>
    <n v="-2.4276301300773608E-2"/>
    <n v="-0.92708094882330983"/>
    <n v="39.115804071722081"/>
    <x v="0"/>
    <n v="2677"/>
  </r>
  <r>
    <x v="601"/>
    <n v="56974.868029999998"/>
    <n v="57548.98515"/>
    <x v="545"/>
    <n v="38.837674185412403"/>
    <x v="601"/>
    <n v="-1.0076673099053119E-2"/>
    <n v="-0.39135454669393965"/>
    <n v="39.229028732106343"/>
    <x v="0"/>
    <n v="1467"/>
  </r>
  <r>
    <x v="602"/>
    <n v="59442.731119999997"/>
    <n v="59785.428610000003"/>
    <x v="583"/>
    <n v="38.902310942408377"/>
    <x v="602"/>
    <n v="-5.7651706700384518E-3"/>
    <n v="-0.22427846204188739"/>
    <n v="39.126589404450264"/>
    <x v="0"/>
    <n v="1528"/>
  </r>
  <r>
    <x v="603"/>
    <n v="217683.36230000001"/>
    <n v="246975.73079999999"/>
    <x v="584"/>
    <n v="34.226943757861633"/>
    <x v="603"/>
    <n v="-0.13456411271170438"/>
    <n v="-4.6057183176100622"/>
    <n v="38.832662075471696"/>
    <x v="0"/>
    <n v="6360"/>
  </r>
  <r>
    <x v="604"/>
    <n v="275458.80690000003"/>
    <n v="307092.27439999999"/>
    <x v="585"/>
    <n v="34.28236551337897"/>
    <x v="604"/>
    <n v="-0.114839194491552"/>
    <n v="-3.9369592408214018"/>
    <n v="38.219324754200372"/>
    <x v="0"/>
    <n v="8035"/>
  </r>
  <r>
    <x v="605"/>
    <n v="228731.86550000001"/>
    <n v="252845.44560000001"/>
    <x v="586"/>
    <n v="34.266946142322098"/>
    <x v="605"/>
    <n v="-0.10542291537424632"/>
    <n v="-3.6125213632958832"/>
    <n v="37.879467505617981"/>
    <x v="0"/>
    <n v="6675"/>
  </r>
  <r>
    <x v="606"/>
    <n v="387639.12"/>
    <n v="426783.30219999998"/>
    <x v="587"/>
    <n v="34.213514563106799"/>
    <x v="606"/>
    <n v="-0.10098099025712363"/>
    <n v="-3.4549145807590449"/>
    <n v="37.668429143865843"/>
    <x v="0"/>
    <n v="11330"/>
  </r>
  <r>
    <x v="607"/>
    <n v="461188.0049"/>
    <n v="504578.1888"/>
    <x v="588"/>
    <n v="34.20261086472857"/>
    <x v="607"/>
    <n v="-9.4083504859169859E-2"/>
    <n v="-3.2179015054879869"/>
    <n v="37.420512370216557"/>
    <x v="0"/>
    <n v="13484"/>
  </r>
  <r>
    <x v="608"/>
    <n v="202249.67720000001"/>
    <n v="220152.1868"/>
    <x v="589"/>
    <n v="34.204241028242855"/>
    <x v="608"/>
    <n v="-8.8516876011112813E-2"/>
    <n v="-3.0276525621511894"/>
    <n v="37.231893590394044"/>
    <x v="0"/>
    <n v="5913"/>
  </r>
  <r>
    <x v="609"/>
    <n v="332559.76500000001"/>
    <n v="361970.28590000002"/>
    <x v="590"/>
    <n v="34.210447999177042"/>
    <x v="609"/>
    <n v="-8.8436798420277934E-2"/>
    <n v="-3.0254624935706218"/>
    <n v="37.235910492747664"/>
    <x v="0"/>
    <n v="9721"/>
  </r>
  <r>
    <x v="610"/>
    <n v="384806.77159999998"/>
    <n v="418101.59749999997"/>
    <x v="591"/>
    <n v="34.183776459092115"/>
    <x v="610"/>
    <n v="-8.6523492717039283E-2"/>
    <n v="-2.9576997334991617"/>
    <n v="37.141476192591277"/>
    <x v="0"/>
    <n v="11257"/>
  </r>
  <r>
    <x v="611"/>
    <n v="345776.25030000001"/>
    <n v="373816.16840000002"/>
    <x v="592"/>
    <n v="34.228494387250052"/>
    <x v="611"/>
    <n v="-8.1092666357716031E-2"/>
    <n v="-2.7756798752722247"/>
    <n v="37.004174262522277"/>
    <x v="0"/>
    <n v="10102"/>
  </r>
  <r>
    <x v="612"/>
    <n v="271551.09509999998"/>
    <n v="293343.87400000001"/>
    <x v="593"/>
    <n v="34.209006689342402"/>
    <x v="612"/>
    <n v="-8.0252958994603718E-2"/>
    <n v="-2.7453740110859215"/>
    <n v="36.954380700428324"/>
    <x v="0"/>
    <n v="7938"/>
  </r>
  <r>
    <x v="613"/>
    <n v="340440.20549999998"/>
    <n v="366359.65860000002"/>
    <x v="594"/>
    <n v="34.263305706521734"/>
    <x v="613"/>
    <n v="-7.6135111779563433E-2"/>
    <n v="-2.6086406099033894"/>
    <n v="36.871946316425124"/>
    <x v="0"/>
    <n v="9936"/>
  </r>
  <r>
    <x v="614"/>
    <n v="364416.7316"/>
    <n v="392128.30129999999"/>
    <x v="595"/>
    <n v="34.240038673306401"/>
    <x v="614"/>
    <n v="-7.6043626148366433E-2"/>
    <n v="-2.6037367001785157"/>
    <n v="36.843775373484917"/>
    <x v="0"/>
    <n v="10643"/>
  </r>
  <r>
    <x v="615"/>
    <n v="164719.60449999999"/>
    <n v="176647.84270000001"/>
    <x v="596"/>
    <n v="34.316584270833332"/>
    <x v="615"/>
    <n v="-7.241541306639078E-2"/>
    <n v="-2.485049625000002"/>
    <n v="36.801633895833334"/>
    <x v="0"/>
    <n v="4800"/>
  </r>
  <r>
    <x v="616"/>
    <n v="178921.0993"/>
    <n v="192507.5287"/>
    <x v="597"/>
    <n v="34.223622666411629"/>
    <x v="616"/>
    <n v="-7.5935311448200982E-2"/>
    <n v="-2.5987814460596752"/>
    <n v="36.822404112471304"/>
    <x v="0"/>
    <n v="5228"/>
  </r>
  <r>
    <x v="617"/>
    <n v="70286.997810000001"/>
    <n v="66639.698050000006"/>
    <x v="598"/>
    <n v="38.83259547513812"/>
    <x v="617"/>
    <n v="5.1891528641746586E-2"/>
    <n v="2.0150827403314864"/>
    <n v="36.817512734806634"/>
    <x v="1"/>
    <n v="1810"/>
  </r>
  <r>
    <x v="618"/>
    <n v="76013.677899999995"/>
    <n v="72211.103170000002"/>
    <x v="599"/>
    <n v="38.76271183069862"/>
    <x v="618"/>
    <n v="5.0024874931094386E-2"/>
    <n v="1.9390998113207516"/>
    <n v="36.823612019377869"/>
    <x v="1"/>
    <n v="1961"/>
  </r>
  <r>
    <x v="619"/>
    <n v="48406.787149999996"/>
    <n v="45316.542730000001"/>
    <x v="600"/>
    <n v="39.291223336038961"/>
    <x v="619"/>
    <n v="6.383907302965873E-2"/>
    <n v="2.5083152759740273"/>
    <n v="36.782908060064933"/>
    <x v="1"/>
    <n v="1232"/>
  </r>
  <r>
    <x v="620"/>
    <n v="85940.026939999996"/>
    <n v="81559.845619999993"/>
    <x v="601"/>
    <n v="39.170477183226978"/>
    <x v="620"/>
    <n v="5.0967883953051081E-2"/>
    <n v="1.9964363354603449"/>
    <n v="37.174040847766634"/>
    <x v="1"/>
    <n v="2194"/>
  </r>
  <r>
    <x v="621"/>
    <n v="57381.751450000003"/>
    <n v="54340.891510000001"/>
    <x v="602"/>
    <n v="39.061777705922395"/>
    <x v="621"/>
    <n v="5.2993501647464997E-2"/>
    <n v="2.0700203812117053"/>
    <n v="36.99175732471069"/>
    <x v="1"/>
    <n v="1469"/>
  </r>
  <r>
    <x v="622"/>
    <n v="32479.79639"/>
    <n v="30763.688119999999"/>
    <x v="603"/>
    <n v="39.17948901085645"/>
    <x v="622"/>
    <n v="5.2836176969642656E-2"/>
    <n v="2.0700944149577793"/>
    <n v="37.109394595898671"/>
    <x v="1"/>
    <n v="829"/>
  </r>
  <r>
    <x v="623"/>
    <n v="52160.183929999999"/>
    <n v="49656.007749999997"/>
    <x v="604"/>
    <n v="39.247692949586153"/>
    <x v="623"/>
    <n v="4.8009343359690912E-2"/>
    <n v="1.8842559668923968"/>
    <n v="37.363436982693756"/>
    <x v="1"/>
    <n v="1329"/>
  </r>
  <r>
    <x v="624"/>
    <n v="51002.839569999996"/>
    <n v="48601.967499999999"/>
    <x v="605"/>
    <n v="39.232953515384615"/>
    <x v="624"/>
    <n v="4.7073302001251649E-2"/>
    <n v="1.8468246692307702"/>
    <n v="37.386128846153845"/>
    <x v="1"/>
    <n v="1300"/>
  </r>
  <r>
    <x v="625"/>
    <n v="30194.715960000001"/>
    <n v="28605.460800000001"/>
    <x v="606"/>
    <n v="39.061728279430788"/>
    <x v="625"/>
    <n v="5.2633552244880949E-2"/>
    <n v="2.0559575161707642"/>
    <n v="37.005770763260024"/>
    <x v="1"/>
    <n v="773"/>
  </r>
  <r>
    <x v="626"/>
    <n v="29751.222610000001"/>
    <n v="28084.235130000001"/>
    <x v="607"/>
    <n v="39.146345539473685"/>
    <x v="626"/>
    <n v="5.603088995205497E-2"/>
    <n v="2.1934045789473657"/>
    <n v="36.95294096052632"/>
    <x v="1"/>
    <n v="760"/>
  </r>
  <r>
    <x v="627"/>
    <n v="68504.639439999999"/>
    <n v="64881.97565"/>
    <x v="608"/>
    <n v="39.033982586894588"/>
    <x v="627"/>
    <n v="5.2882021124611857E-2"/>
    <n v="2.0641958917378957"/>
    <n v="36.969786695156692"/>
    <x v="1"/>
    <n v="1755"/>
  </r>
  <r>
    <x v="628"/>
    <n v="68996.561759999997"/>
    <n v="65211.571770000002"/>
    <x v="609"/>
    <n v="39.069400770101922"/>
    <x v="628"/>
    <n v="5.4857660924696995E-2"/>
    <n v="2.1432559399773439"/>
    <n v="36.926144830124578"/>
    <x v="1"/>
    <n v="1766"/>
  </r>
  <r>
    <x v="629"/>
    <n v="41855.928760000003"/>
    <n v="39629.451869999997"/>
    <x v="610"/>
    <n v="38.827392170686458"/>
    <x v="629"/>
    <n v="5.3193823574350076E-2"/>
    <n v="2.0653774489795964"/>
    <n v="36.762014721706862"/>
    <x v="1"/>
    <n v="1078"/>
  </r>
  <r>
    <x v="630"/>
    <n v="44303.466489999999"/>
    <n v="41485.458720000002"/>
    <x v="611"/>
    <n v="39.415895453736653"/>
    <x v="630"/>
    <n v="6.3606936279716753E-2"/>
    <n v="2.5071243505338003"/>
    <n v="36.908771103202852"/>
    <x v="1"/>
    <n v="1124"/>
  </r>
  <r>
    <x v="631"/>
    <n v="46599.298130000003"/>
    <n v="43806.73201"/>
    <x v="436"/>
    <n v="39.424110093062609"/>
    <x v="631"/>
    <n v="5.9927214186991942E-2"/>
    <n v="2.362577089678517"/>
    <n v="37.061533003384092"/>
    <x v="1"/>
    <n v="1182"/>
  </r>
  <r>
    <x v="632"/>
    <n v="125182.75719999999"/>
    <n v="138583.83780000001"/>
    <x v="612"/>
    <n v="33.606109315436242"/>
    <x v="632"/>
    <n v="-0.10705212842204451"/>
    <n v="-3.5976055302013421"/>
    <n v="37.203714845637585"/>
    <x v="0"/>
    <n v="3725"/>
  </r>
  <r>
    <x v="633"/>
    <n v="150036.80499999999"/>
    <n v="167704.8554"/>
    <x v="613"/>
    <n v="33.400891585040071"/>
    <x v="633"/>
    <n v="-0.11775810875204926"/>
    <n v="-3.9332258236865556"/>
    <n v="37.334117408726627"/>
    <x v="0"/>
    <n v="4492"/>
  </r>
  <r>
    <x v="634"/>
    <n v="368037.69189999998"/>
    <n v="413540.80719999998"/>
    <x v="614"/>
    <n v="33.366971160471437"/>
    <x v="634"/>
    <n v="-0.12363710647431111"/>
    <n v="-4.1253957660924812"/>
    <n v="37.492366926563918"/>
    <x v="0"/>
    <n v="11030"/>
  </r>
  <r>
    <x v="635"/>
    <n v="351319.63809999998"/>
    <n v="397626.58510000003"/>
    <x v="615"/>
    <n v="33.370026415273557"/>
    <x v="635"/>
    <n v="-0.13180859245568044"/>
    <n v="-4.3984562120060815"/>
    <n v="37.768482627279639"/>
    <x v="0"/>
    <n v="10528"/>
  </r>
  <r>
    <x v="636"/>
    <n v="163289.93669999999"/>
    <n v="185404.04399999999"/>
    <x v="616"/>
    <n v="33.358516179775279"/>
    <x v="636"/>
    <n v="-0.13542847616279347"/>
    <n v="-4.5176930132788584"/>
    <n v="37.876209193054137"/>
    <x v="0"/>
    <n v="4895"/>
  </r>
  <r>
    <x v="637"/>
    <n v="190892.459"/>
    <n v="216571.0595"/>
    <x v="617"/>
    <n v="33.372807517482521"/>
    <x v="637"/>
    <n v="-0.13451867420284003"/>
    <n v="-4.4892658216783161"/>
    <n v="37.862073339160837"/>
    <x v="0"/>
    <n v="5720"/>
  </r>
  <r>
    <x v="638"/>
    <n v="143082.13329999999"/>
    <n v="162929.01850000001"/>
    <x v="618"/>
    <n v="33.368034818097009"/>
    <x v="638"/>
    <n v="-0.13870973784257953"/>
    <n v="-4.6284713619403064"/>
    <n v="37.996506180037315"/>
    <x v="0"/>
    <n v="4288"/>
  </r>
  <r>
    <x v="639"/>
    <n v="323548.78529999999"/>
    <n v="368434.88589999999"/>
    <x v="619"/>
    <n v="33.379633271432994"/>
    <x v="639"/>
    <n v="-0.13873054895996856"/>
    <n v="-4.6307748478283273"/>
    <n v="38.010408119261321"/>
    <x v="0"/>
    <n v="9693"/>
  </r>
  <r>
    <x v="640"/>
    <n v="402312.33319999999"/>
    <n v="459285.80450000003"/>
    <x v="620"/>
    <n v="33.345406813095728"/>
    <x v="640"/>
    <n v="-0.14161502543765425"/>
    <n v="-4.7222106340654832"/>
    <n v="38.067617447161211"/>
    <x v="0"/>
    <n v="12065"/>
  </r>
  <r>
    <x v="641"/>
    <n v="393635.17489999998"/>
    <n v="448390.96580000001"/>
    <x v="621"/>
    <n v="33.478072367749618"/>
    <x v="641"/>
    <n v="-0.13910289118321378"/>
    <n v="-4.6568966575948281"/>
    <n v="38.134969025344446"/>
    <x v="0"/>
    <n v="11758"/>
  </r>
  <r>
    <x v="642"/>
    <n v="451100.0601"/>
    <n v="515549.38990000001"/>
    <x v="622"/>
    <n v="33.395029619484752"/>
    <x v="642"/>
    <n v="-0.14287147243055756"/>
    <n v="-4.7711970535978665"/>
    <n v="38.166226673082619"/>
    <x v="0"/>
    <n v="13508"/>
  </r>
  <r>
    <x v="643"/>
    <n v="202902.6249"/>
    <n v="232360.3272"/>
    <x v="623"/>
    <n v="33.34472060805259"/>
    <x v="643"/>
    <n v="-0.14518147468283446"/>
    <n v="-4.8410357107641744"/>
    <n v="38.185756318816765"/>
    <x v="0"/>
    <n v="6085"/>
  </r>
  <r>
    <x v="644"/>
    <n v="294557.64640000003"/>
    <n v="336897.92239999998"/>
    <x v="624"/>
    <n v="33.366294336202991"/>
    <x v="644"/>
    <n v="-0.14374190083832755"/>
    <n v="-4.7961345718169426"/>
    <n v="38.162428908019933"/>
    <x v="0"/>
    <n v="8828"/>
  </r>
  <r>
    <x v="645"/>
    <n v="221618.32819999999"/>
    <n v="253291.06229999999"/>
    <x v="625"/>
    <n v="33.39637254370102"/>
    <x v="645"/>
    <n v="-0.14291568011205674"/>
    <n v="-4.7728652953586561"/>
    <n v="38.169237839059676"/>
    <x v="0"/>
    <n v="6636"/>
  </r>
  <r>
    <x v="646"/>
    <n v="63968.38248"/>
    <n v="61942.842680000002"/>
    <x v="626"/>
    <n v="39.437967003699136"/>
    <x v="646"/>
    <n v="3.1664702490066754E-2"/>
    <n v="1.2487914919852017"/>
    <n v="38.189175511713934"/>
    <x v="1"/>
    <n v="1622"/>
  </r>
  <r>
    <x v="647"/>
    <n v="59609.544710000002"/>
    <n v="57736.47666"/>
    <x v="627"/>
    <n v="39.424302056878311"/>
    <x v="647"/>
    <n v="3.1422284117626868E-2"/>
    <n v="1.2388016203703742"/>
    <n v="38.185500436507937"/>
    <x v="1"/>
    <n v="1512"/>
  </r>
  <r>
    <x v="648"/>
    <n v="126588.253"/>
    <n v="122622.3631"/>
    <x v="628"/>
    <n v="39.423311429461229"/>
    <x v="648"/>
    <n v="3.1329051519496005E-2"/>
    <n v="1.2350949548427295"/>
    <n v="38.1882164746185"/>
    <x v="1"/>
    <n v="3211"/>
  </r>
  <r>
    <x v="649"/>
    <n v="119755.0116"/>
    <n v="116003.6869"/>
    <x v="629"/>
    <n v="39.432009087915702"/>
    <x v="649"/>
    <n v="3.1324991329214631E-2"/>
    <n v="1.235207342772469"/>
    <n v="38.196801745143233"/>
    <x v="1"/>
    <n v="3037"/>
  </r>
  <r>
    <x v="650"/>
    <n v="57413.410479999999"/>
    <n v="55617.584640000001"/>
    <x v="630"/>
    <n v="39.432287417582415"/>
    <x v="650"/>
    <n v="3.1278856716334152E-2"/>
    <n v="1.2333968681318623"/>
    <n v="38.198890549450553"/>
    <x v="1"/>
    <n v="1456"/>
  </r>
  <r>
    <x v="651"/>
    <n v="57749.136939999997"/>
    <n v="55933.008580000002"/>
    <x v="631"/>
    <n v="39.419206102389076"/>
    <x v="651"/>
    <n v="3.1448580121412203E-2"/>
    <n v="1.2396780614334446"/>
    <n v="38.179528040955631"/>
    <x v="1"/>
    <n v="1465"/>
  </r>
  <r>
    <x v="652"/>
    <n v="40140.820030000003"/>
    <n v="38881.08844"/>
    <x v="632"/>
    <n v="39.43106093320236"/>
    <x v="652"/>
    <n v="3.1382806555982634E-2"/>
    <n v="1.237457357563855"/>
    <n v="38.193603575638505"/>
    <x v="1"/>
    <n v="1018"/>
  </r>
  <r>
    <x v="653"/>
    <n v="42195.817360000001"/>
    <n v="40869.249470000002"/>
    <x v="633"/>
    <n v="39.435343327102807"/>
    <x v="653"/>
    <n v="3.1438374061632308E-2"/>
    <n v="1.2397830747663576"/>
    <n v="38.195560252336449"/>
    <x v="1"/>
    <n v="1070"/>
  </r>
  <r>
    <x v="654"/>
    <n v="53490.797469999998"/>
    <n v="51799.1659"/>
    <x v="634"/>
    <n v="39.4184211274871"/>
    <x v="654"/>
    <n v="3.1624721447623572E-2"/>
    <n v="1.2465965880618981"/>
    <n v="38.171824539425202"/>
    <x v="1"/>
    <n v="1357"/>
  </r>
  <r>
    <x v="655"/>
    <n v="110809.3158"/>
    <n v="107331.98050000001"/>
    <x v="635"/>
    <n v="39.43392021352313"/>
    <x v="655"/>
    <n v="3.1381254138201184E-2"/>
    <n v="1.2374858718861148"/>
    <n v="38.196434341637016"/>
    <x v="1"/>
    <n v="2810"/>
  </r>
  <r>
    <x v="656"/>
    <n v="111527.0135"/>
    <n v="108023.6073"/>
    <x v="636"/>
    <n v="39.422768999646522"/>
    <x v="656"/>
    <n v="3.1413072851627984E-2"/>
    <n v="1.2383903145988029"/>
    <n v="38.184378685047719"/>
    <x v="1"/>
    <n v="2829"/>
  </r>
  <r>
    <x v="657"/>
    <n v="59808.13867"/>
    <n v="57937.458659999997"/>
    <x v="637"/>
    <n v="39.425272689518785"/>
    <x v="657"/>
    <n v="3.1278017534064208E-2"/>
    <n v="1.2331443704680325"/>
    <n v="38.192128319050752"/>
    <x v="1"/>
    <n v="1517"/>
  </r>
  <r>
    <x v="658"/>
    <n v="55166.22623"/>
    <n v="53436.897089999999"/>
    <x v="638"/>
    <n v="39.432613459614011"/>
    <x v="658"/>
    <n v="3.1347606283417907E-2"/>
    <n v="1.2361180414581838"/>
    <n v="38.196495418155827"/>
    <x v="1"/>
    <n v="1399"/>
  </r>
  <r>
    <x v="659"/>
    <n v="42054.680469999999"/>
    <n v="40736.150479999997"/>
    <x v="639"/>
    <n v="39.413946082474226"/>
    <x v="659"/>
    <n v="3.1352752541791047E-2"/>
    <n v="1.2357356982193082"/>
    <n v="38.178210384254918"/>
    <x v="1"/>
    <n v="1067"/>
  </r>
  <r>
    <x v="660"/>
    <n v="53678.179109999997"/>
    <n v="51999.860869999997"/>
    <x v="322"/>
    <n v="39.440249162380603"/>
    <x v="660"/>
    <n v="3.1266303511538779E-2"/>
    <n v="1.2331508008817096"/>
    <n v="38.207098361498893"/>
    <x v="1"/>
    <n v="1361"/>
  </r>
  <r>
    <x v="661"/>
    <n v="55930.168640000004"/>
    <n v="54177.690060000001"/>
    <x v="193"/>
    <n v="39.41519988724454"/>
    <x v="661"/>
    <n v="3.1333332664880781E-2"/>
    <n v="1.2350095701198072"/>
    <n v="38.180190317124733"/>
    <x v="1"/>
    <n v="1419"/>
  </r>
  <r>
    <x v="662"/>
    <n v="185771.00150000001"/>
    <n v="192527.011"/>
    <x v="640"/>
    <n v="36.844704779849266"/>
    <x v="662"/>
    <n v="-3.6367406352169472E-2"/>
    <n v="-1.3399463506545004"/>
    <n v="38.184651130503767"/>
    <x v="0"/>
    <n v="5042"/>
  </r>
  <r>
    <x v="663"/>
    <n v="253116.91320000001"/>
    <n v="262409.56939999998"/>
    <x v="641"/>
    <n v="36.833078172293369"/>
    <x v="663"/>
    <n v="-3.6712901095856003E-2"/>
    <n v="-1.352249155995338"/>
    <n v="38.185327328288707"/>
    <x v="0"/>
    <n v="6872"/>
  </r>
  <r>
    <x v="664"/>
    <n v="118618.4537"/>
    <n v="122915.26700000001"/>
    <x v="642"/>
    <n v="36.860924083281539"/>
    <x v="664"/>
    <n v="-3.6223818183190572E-2"/>
    <n v="-1.3352434120571814"/>
    <n v="38.19616749533872"/>
    <x v="0"/>
    <n v="3218"/>
  </r>
  <r>
    <x v="665"/>
    <n v="123320.784"/>
    <n v="128133.77860000001"/>
    <x v="643"/>
    <n v="36.84517000298775"/>
    <x v="665"/>
    <n v="-3.9028251717893758E-2"/>
    <n v="-1.4380025694651977"/>
    <n v="38.283172572452948"/>
    <x v="0"/>
    <n v="3347"/>
  </r>
  <r>
    <x v="666"/>
    <n v="117051.2772"/>
    <n v="122175.0003"/>
    <x v="644"/>
    <n v="36.843335599622286"/>
    <x v="666"/>
    <n v="-4.3773320740835141E-2"/>
    <n v="-1.612755146364492"/>
    <n v="38.456090745986778"/>
    <x v="0"/>
    <n v="3177"/>
  </r>
  <r>
    <x v="667"/>
    <n v="159299.98910000001"/>
    <n v="174699.07670000001"/>
    <x v="645"/>
    <n v="35.150041725507506"/>
    <x v="667"/>
    <n v="-9.6667223186897244E-2"/>
    <n v="-3.3978569285083822"/>
    <n v="38.547898654015889"/>
    <x v="0"/>
    <n v="4532"/>
  </r>
  <r>
    <x v="668"/>
    <n v="119047.4099"/>
    <n v="124349.26549999999"/>
    <x v="646"/>
    <n v="36.845376013618072"/>
    <x v="668"/>
    <n v="-4.4535665282038152E-2"/>
    <n v="-1.6409333333333365"/>
    <n v="38.486309346951408"/>
    <x v="0"/>
    <n v="3231"/>
  </r>
  <r>
    <x v="669"/>
    <n v="285081.9743"/>
    <n v="297627.69069999998"/>
    <x v="647"/>
    <n v="36.875174531108527"/>
    <x v="669"/>
    <n v="-4.4007399734077031E-2"/>
    <n v="-1.6227805458543472"/>
    <n v="38.497955076962874"/>
    <x v="0"/>
    <n v="7731"/>
  </r>
  <r>
    <x v="670"/>
    <n v="391656.21260000003"/>
    <n v="429832.83480000001"/>
    <x v="648"/>
    <n v="35.132419501255832"/>
    <x v="670"/>
    <n v="-9.7474828617080844E-2"/>
    <n v="-3.4245265697883056"/>
    <n v="38.556946071044138"/>
    <x v="0"/>
    <n v="11148"/>
  </r>
  <r>
    <x v="671"/>
    <n v="274814.7781"/>
    <n v="287978.17489999998"/>
    <x v="649"/>
    <n v="36.843380895562404"/>
    <x v="671"/>
    <n v="-4.7899159175530483E-2"/>
    <n v="-1.7647669660812468"/>
    <n v="38.608147861643651"/>
    <x v="0"/>
    <n v="7459"/>
  </r>
  <r>
    <x v="672"/>
    <n v="269555.02309999999"/>
    <n v="281915.19209999999"/>
    <x v="650"/>
    <n v="36.844590363586661"/>
    <x v="672"/>
    <n v="-4.5853973922847645E-2"/>
    <n v="-1.6894708857299037"/>
    <n v="38.534061249316565"/>
    <x v="0"/>
    <n v="7316"/>
  </r>
  <r>
    <x v="673"/>
    <n v="192001.03460000001"/>
    <n v="201125.77549999999"/>
    <x v="651"/>
    <n v="36.845333832277873"/>
    <x v="673"/>
    <n v="-4.7524436100095754E-2"/>
    <n v="-1.7510537132987878"/>
    <n v="38.596387545576661"/>
    <x v="0"/>
    <n v="5211"/>
  </r>
  <r>
    <x v="674"/>
    <n v="201367.78700000001"/>
    <n v="220579.99559999999"/>
    <x v="652"/>
    <n v="35.136588204501834"/>
    <x v="674"/>
    <n v="-9.5408550127235509E-2"/>
    <n v="-3.352330937009242"/>
    <n v="38.488919141511076"/>
    <x v="0"/>
    <n v="5731"/>
  </r>
  <r>
    <x v="675"/>
    <n v="111874.55899999999"/>
    <n v="116637.0343"/>
    <x v="653"/>
    <n v="36.849327733860342"/>
    <x v="675"/>
    <n v="-4.2569779425901517E-2"/>
    <n v="-1.5686677536231883"/>
    <n v="38.41799548748353"/>
    <x v="0"/>
    <n v="3036"/>
  </r>
  <r>
    <x v="676"/>
    <n v="214540.33309999999"/>
    <n v="223738.4327"/>
    <x v="654"/>
    <n v="36.849936980419095"/>
    <x v="676"/>
    <n v="-4.2873521575603521E-2"/>
    <n v="-1.5798865681896288"/>
    <n v="38.429823548608724"/>
    <x v="0"/>
    <n v="5822"/>
  </r>
  <r>
    <x v="677"/>
    <n v="280264.24449999997"/>
    <n v="306935.16039999999"/>
    <x v="655"/>
    <n v="35.09005189683235"/>
    <x v="677"/>
    <n v="-9.5163462423049197E-2"/>
    <n v="-3.3392908351070503"/>
    <n v="38.4293427319394"/>
    <x v="0"/>
    <n v="7987"/>
  </r>
  <r>
    <x v="678"/>
    <n v="134136.72870000001"/>
    <n v="140236.3033"/>
    <x v="656"/>
    <n v="36.850749642857146"/>
    <x v="678"/>
    <n v="-4.5472814635593481E-2"/>
    <n v="-1.6757073076923064"/>
    <n v="38.526456950549452"/>
    <x v="0"/>
    <n v="3640"/>
  </r>
  <r>
    <x v="679"/>
    <n v="94243.465530000001"/>
    <n v="89949.304170000003"/>
    <x v="657"/>
    <n v="40.309437780153978"/>
    <x v="679"/>
    <n v="4.5564552787302391E-2"/>
    <n v="1.836681505560307"/>
    <n v="38.472756274593671"/>
    <x v="1"/>
    <n v="2338"/>
  </r>
  <r>
    <x v="680"/>
    <n v="131436.1979"/>
    <n v="143823.38639999999"/>
    <x v="658"/>
    <n v="35.105822088675211"/>
    <x v="680"/>
    <n v="-9.4244878487922151E-2"/>
    <n v="-3.3085439369658118"/>
    <n v="38.414366025641023"/>
    <x v="0"/>
    <n v="3744"/>
  </r>
  <r>
    <x v="681"/>
    <n v="147893.94149999999"/>
    <n v="161665.60060000001"/>
    <x v="659"/>
    <n v="35.079208135673618"/>
    <x v="681"/>
    <n v="-9.3118480448369276E-2"/>
    <n v="-3.2665225569260059"/>
    <n v="38.345730692599624"/>
    <x v="0"/>
    <n v="4216"/>
  </r>
  <r>
    <x v="682"/>
    <n v="140238.39050000001"/>
    <n v="153481.4534"/>
    <x v="660"/>
    <n v="35.059597625000002"/>
    <x v="682"/>
    <n v="-9.4432507766124066E-2"/>
    <n v="-3.310765724999996"/>
    <n v="38.370363349999998"/>
    <x v="0"/>
    <n v="4000"/>
  </r>
  <r>
    <x v="683"/>
    <n v="358183.77399999998"/>
    <n v="391310.32069999998"/>
    <x v="661"/>
    <n v="35.10229067032536"/>
    <x v="683"/>
    <n v="-9.2484777660531342E-2"/>
    <n v="-3.2464275480203852"/>
    <n v="38.348718218345745"/>
    <x v="0"/>
    <n v="10204"/>
  </r>
  <r>
    <x v="684"/>
    <n v="377937.13870000001"/>
    <n v="413010.22899999999"/>
    <x v="662"/>
    <n v="35.094914913176709"/>
    <x v="684"/>
    <n v="-9.2801386020547716E-2"/>
    <n v="-3.2568567462159947"/>
    <n v="38.351771659392703"/>
    <x v="0"/>
    <n v="10769"/>
  </r>
  <r>
    <x v="685"/>
    <n v="168729.96239999999"/>
    <n v="184673.48850000001"/>
    <x v="663"/>
    <n v="35.130119175515304"/>
    <x v="685"/>
    <n v="-9.449137469848698E-2"/>
    <n v="-3.3194932542161126"/>
    <n v="38.449612429731417"/>
    <x v="0"/>
    <n v="4803"/>
  </r>
  <r>
    <x v="686"/>
    <n v="177192.5698"/>
    <n v="193615.30369999999"/>
    <x v="640"/>
    <n v="35.143310154700515"/>
    <x v="686"/>
    <n v="-9.2682971518143156E-2"/>
    <n v="-3.257186414121378"/>
    <n v="38.400496568821893"/>
    <x v="0"/>
    <n v="5042"/>
  </r>
  <r>
    <x v="687"/>
    <n v="152368.74909999999"/>
    <n v="166625.36499999999"/>
    <x v="664"/>
    <n v="35.091835352372179"/>
    <x v="687"/>
    <n v="-9.3566535029065256E-2"/>
    <n v="-3.2834214417319174"/>
    <n v="38.375256794104097"/>
    <x v="0"/>
    <n v="4342"/>
  </r>
  <r>
    <x v="688"/>
    <n v="147471.80489999999"/>
    <n v="161402.91870000001"/>
    <x v="665"/>
    <n v="35.095622298905283"/>
    <x v="688"/>
    <n v="-9.4466286687456297E-2"/>
    <n v="-3.3153531175630704"/>
    <n v="38.410975416468354"/>
    <x v="0"/>
    <n v="4202"/>
  </r>
  <r>
    <x v="689"/>
    <n v="145697.152"/>
    <n v="159317.60939999999"/>
    <x v="666"/>
    <n v="35.099289809684414"/>
    <x v="689"/>
    <n v="-9.3484719591498844E-2"/>
    <n v="-3.2812472657191023"/>
    <n v="38.380537075403517"/>
    <x v="0"/>
    <n v="4151"/>
  </r>
  <r>
    <x v="690"/>
    <n v="301033.9865"/>
    <n v="328965.1433"/>
    <x v="667"/>
    <n v="35.138786798179062"/>
    <x v="690"/>
    <n v="-9.2784064433203112E-2"/>
    <n v="-3.2603194583868316"/>
    <n v="38.399106256565894"/>
    <x v="0"/>
    <n v="8567"/>
  </r>
  <r>
    <x v="691"/>
    <n v="309518.07209999999"/>
    <n v="338720.02360000001"/>
    <x v="668"/>
    <n v="35.128597446373853"/>
    <x v="691"/>
    <n v="-9.4346515219199789E-2"/>
    <n v="-3.314260753603449"/>
    <n v="38.442858199977302"/>
    <x v="0"/>
    <n v="8811"/>
  </r>
  <r>
    <x v="692"/>
    <n v="152504.6317"/>
    <n v="167600.65090000001"/>
    <x v="669"/>
    <n v="35.098879562715766"/>
    <x v="692"/>
    <n v="-9.8987283413766711E-2"/>
    <n v="-3.4743427387802086"/>
    <n v="38.573222301495974"/>
    <x v="0"/>
    <n v="4345"/>
  </r>
  <r>
    <x v="693"/>
    <n v="79711.583410000007"/>
    <n v="74375.788709999993"/>
    <x v="670"/>
    <n v="41.152082297367066"/>
    <x v="693"/>
    <n v="6.6938761867959898E-2"/>
    <n v="2.7546694372741456"/>
    <n v="38.397412860092921"/>
    <x v="1"/>
    <n v="1937"/>
  </r>
  <r>
    <x v="694"/>
    <n v="111021.37910000001"/>
    <n v="121456.524"/>
    <x v="671"/>
    <n v="35.133347816455696"/>
    <x v="694"/>
    <n v="-9.3992211091169911E-2"/>
    <n v="-3.3022610443037976"/>
    <n v="38.435608860759494"/>
    <x v="0"/>
    <n v="3160"/>
  </r>
  <r>
    <x v="695"/>
    <n v="243161.2592"/>
    <n v="266054.36989999999"/>
    <x v="672"/>
    <n v="35.118610514153666"/>
    <x v="695"/>
    <n v="-9.4147853878197019E-2"/>
    <n v="-3.3063418110918548"/>
    <n v="38.424952325245521"/>
    <x v="0"/>
    <n v="6924"/>
  </r>
  <r>
    <x v="696"/>
    <n v="311443.18119999999"/>
    <n v="355343.87180000002"/>
    <x v="673"/>
    <n v="33.586021913080984"/>
    <x v="696"/>
    <n v="-0.14095890759543794"/>
    <n v="-4.7342489593443418"/>
    <n v="38.320270872425326"/>
    <x v="0"/>
    <n v="9273"/>
  </r>
  <r>
    <x v="697"/>
    <n v="375876.0134"/>
    <n v="431325.68670000002"/>
    <x v="591"/>
    <n v="33.390424926712271"/>
    <x v="697"/>
    <n v="-0.14752118071708809"/>
    <n v="-4.9257949098338827"/>
    <n v="38.316219836546153"/>
    <x v="0"/>
    <n v="11257"/>
  </r>
  <r>
    <x v="698"/>
    <n v="434639.65899999999"/>
    <n v="498895.61859999999"/>
    <x v="674"/>
    <n v="33.385026422920347"/>
    <x v="698"/>
    <n v="-0.14783731366768812"/>
    <n v="-4.935552623089329"/>
    <n v="38.320579046009676"/>
    <x v="0"/>
    <n v="13019"/>
  </r>
  <r>
    <x v="699"/>
    <n v="238637.81640000001"/>
    <n v="274093.57799999998"/>
    <x v="675"/>
    <n v="33.427345062333664"/>
    <x v="699"/>
    <n v="-0.14857562030558358"/>
    <n v="-4.966488527805005"/>
    <n v="38.393833590138669"/>
    <x v="0"/>
    <n v="7139"/>
  </r>
  <r>
    <x v="700"/>
    <n v="260653.66699999999"/>
    <n v="283981.1507"/>
    <x v="676"/>
    <n v="35.114329381651622"/>
    <x v="700"/>
    <n v="-8.9496088693047288E-2"/>
    <n v="-3.1425951367371709"/>
    <n v="38.256924518388793"/>
    <x v="0"/>
    <n v="7423"/>
  </r>
  <r>
    <x v="701"/>
    <n v="262394.78000000003"/>
    <n v="285838.55680000002"/>
    <x v="677"/>
    <n v="35.107677281241642"/>
    <x v="701"/>
    <n v="-8.9345438960332937E-2"/>
    <n v="-3.1367108375702415"/>
    <n v="38.244388118811884"/>
    <x v="0"/>
    <n v="7474"/>
  </r>
  <r>
    <x v="702"/>
    <n v="248437.7113"/>
    <n v="269807.62040000001"/>
    <x v="678"/>
    <n v="35.209426204648523"/>
    <x v="702"/>
    <n v="-8.6017171017144289E-2"/>
    <n v="-3.0286152352607729"/>
    <n v="38.238041439909296"/>
    <x v="0"/>
    <n v="7056"/>
  </r>
  <r>
    <x v="703"/>
    <n v="201048.83050000001"/>
    <n v="219110.39319999999"/>
    <x v="679"/>
    <n v="35.074813415910675"/>
    <x v="703"/>
    <n v="-8.9836696165213351E-2"/>
    <n v="-3.1510053558967215"/>
    <n v="38.225818771807397"/>
    <x v="0"/>
    <n v="5732"/>
  </r>
  <r>
    <x v="704"/>
    <n v="317690.76089999999"/>
    <n v="345449.52990000002"/>
    <x v="680"/>
    <n v="35.150559957955302"/>
    <x v="704"/>
    <n v="-8.7376695883005867E-2"/>
    <n v="-3.0713397875636232"/>
    <n v="38.221899745518925"/>
    <x v="0"/>
    <n v="9038"/>
  </r>
  <r>
    <x v="705"/>
    <n v="378527.8726"/>
    <n v="410385.03700000001"/>
    <x v="681"/>
    <n v="35.254528508894474"/>
    <x v="705"/>
    <n v="-8.4160683283854981E-2"/>
    <n v="-2.9670452081587086"/>
    <n v="38.221573717053182"/>
    <x v="0"/>
    <n v="10737"/>
  </r>
  <r>
    <x v="706"/>
    <n v="195425.39110000001"/>
    <n v="210461.38620000001"/>
    <x v="682"/>
    <n v="35.499616911898279"/>
    <x v="706"/>
    <n v="-7.6939823506895363E-2"/>
    <n v="-2.7313342597638481"/>
    <n v="38.230951171662127"/>
    <x v="0"/>
    <n v="5505"/>
  </r>
  <r>
    <x v="707"/>
    <n v="90441.603369999997"/>
    <n v="83999.591249999998"/>
    <x v="683"/>
    <n v="41.147226282984533"/>
    <x v="707"/>
    <n v="7.1228415684377974E-2"/>
    <n v="2.9308517379435912"/>
    <n v="38.216374545040942"/>
    <x v="1"/>
    <n v="2198"/>
  </r>
  <r>
    <x v="708"/>
    <n v="117649.0006"/>
    <n v="121640.3798"/>
    <x v="684"/>
    <n v="36.880564451410656"/>
    <x v="708"/>
    <n v="-3.3926163245282984E-2"/>
    <n v="-1.2512160501567422"/>
    <n v="38.131780501567398"/>
    <x v="0"/>
    <n v="3190"/>
  </r>
  <r>
    <x v="709"/>
    <n v="141285.39550000001"/>
    <n v="145443.0466"/>
    <x v="685"/>
    <n v="37.043889748295754"/>
    <x v="709"/>
    <n v="-2.9427323930306639E-2"/>
    <n v="-1.0901025432616649"/>
    <n v="38.133992291557419"/>
    <x v="0"/>
    <n v="3814"/>
  </r>
  <r>
    <x v="710"/>
    <n v="133183.6937"/>
    <n v="137725.87609999999"/>
    <x v="686"/>
    <n v="36.892989944598341"/>
    <x v="710"/>
    <n v="-3.4104643547665701E-2"/>
    <n v="-1.2582222714681421"/>
    <n v="38.151212216066483"/>
    <x v="0"/>
    <n v="3610"/>
  </r>
  <r>
    <x v="711"/>
    <n v="229672.25630000001"/>
    <n v="237672.01639999999"/>
    <x v="687"/>
    <n v="36.883291520796533"/>
    <x v="711"/>
    <n v="-3.4831199156900451E-2"/>
    <n v="-1.2846892725228827"/>
    <n v="38.167980793319416"/>
    <x v="0"/>
    <n v="6227"/>
  </r>
  <r>
    <x v="712"/>
    <n v="333488.79790000001"/>
    <n v="359621.07490000001"/>
    <x v="688"/>
    <n v="35.394693048185097"/>
    <x v="712"/>
    <n v="-7.8360284257092294E-2"/>
    <n v="-2.7735382084483149"/>
    <n v="38.168231256633412"/>
    <x v="0"/>
    <n v="9422"/>
  </r>
  <r>
    <x v="713"/>
    <n v="185422.88560000001"/>
    <n v="191390.4013"/>
    <x v="353"/>
    <n v="36.981030235341045"/>
    <x v="713"/>
    <n v="-3.2183274899913371E-2"/>
    <n v="-1.190170662145988"/>
    <n v="38.171200897487033"/>
    <x v="0"/>
    <n v="5014"/>
  </r>
  <r>
    <x v="714"/>
    <n v="173833.13320000001"/>
    <n v="179871.0533"/>
    <x v="689"/>
    <n v="36.868108844114531"/>
    <x v="714"/>
    <n v="-3.4734000295865278E-2"/>
    <n v="-1.2805769034994654"/>
    <n v="38.148685747613996"/>
    <x v="0"/>
    <n v="4715"/>
  </r>
  <r>
    <x v="715"/>
    <n v="220271.72140000001"/>
    <n v="237123.34330000001"/>
    <x v="690"/>
    <n v="35.459066548615581"/>
    <x v="715"/>
    <n v="-7.6503791739106083E-2"/>
    <n v="-2.7127530424983917"/>
    <n v="38.171819591113973"/>
    <x v="0"/>
    <n v="6212"/>
  </r>
  <r>
    <x v="716"/>
    <n v="234468.07120000001"/>
    <n v="251493.90890000001"/>
    <x v="691"/>
    <n v="35.606388944570995"/>
    <x v="716"/>
    <n v="-7.2614738599001208E-2"/>
    <n v="-2.5855486256643871"/>
    <n v="38.191937570235382"/>
    <x v="0"/>
    <n v="6585"/>
  </r>
  <r>
    <x v="717"/>
    <n v="213778.13810000001"/>
    <n v="230994.35519999999"/>
    <x v="692"/>
    <n v="35.329389869443069"/>
    <x v="717"/>
    <n v="-8.0533104334301331E-2"/>
    <n v="-2.8451854404230659"/>
    <n v="38.174575309866135"/>
    <x v="0"/>
    <n v="6051"/>
  </r>
  <r>
    <x v="718"/>
    <n v="273563.0148"/>
    <n v="295854.55229999998"/>
    <x v="693"/>
    <n v="35.298453522580644"/>
    <x v="718"/>
    <n v="-8.1485933017287307E-2"/>
    <n v="-2.8763274193548369"/>
    <n v="38.174780941935481"/>
    <x v="0"/>
    <n v="7750"/>
  </r>
  <r>
    <x v="719"/>
    <n v="337506.78840000002"/>
    <n v="362223.16090000002"/>
    <x v="694"/>
    <n v="35.564466638566913"/>
    <x v="719"/>
    <n v="-7.3232223319630266E-2"/>
    <n v="-2.6044649631190779"/>
    <n v="38.168931601685991"/>
    <x v="0"/>
    <n v="9490"/>
  </r>
  <r>
    <x v="720"/>
    <n v="155312.78390000001"/>
    <n v="167421.9737"/>
    <x v="695"/>
    <n v="35.443355522592427"/>
    <x v="720"/>
    <n v="-7.7966471889375444E-2"/>
    <n v="-2.7633933820173411"/>
    <n v="38.206748904609768"/>
    <x v="0"/>
    <n v="4382"/>
  </r>
  <r>
    <x v="721"/>
    <n v="289243.38309999998"/>
    <n v="312784.9743"/>
    <x v="696"/>
    <n v="35.290798328452901"/>
    <x v="721"/>
    <n v="-8.1390249787878469E-2"/>
    <n v="-2.8723268911664235"/>
    <n v="38.163125219619324"/>
    <x v="0"/>
    <n v="8196"/>
  </r>
  <r>
    <x v="722"/>
    <n v="313125.33250000002"/>
    <n v="338299.61780000001"/>
    <x v="506"/>
    <n v="35.329497066456057"/>
    <x v="722"/>
    <n v="-8.0396833750268307E-2"/>
    <n v="-2.8403797021324593"/>
    <n v="38.169876768588516"/>
    <x v="0"/>
    <n v="8863"/>
  </r>
  <r>
    <x v="723"/>
    <n v="268330.39270000003"/>
    <n v="249584.21520000001"/>
    <x v="697"/>
    <n v="41.06678798591981"/>
    <x v="723"/>
    <n v="6.9862296668565263E-2"/>
    <n v="2.8690201254973999"/>
    <n v="38.19776786042241"/>
    <x v="1"/>
    <n v="6534"/>
  </r>
  <r>
    <x v="724"/>
    <n v="392228.13799999998"/>
    <n v="364396.19420000003"/>
    <x v="698"/>
    <n v="41.114060587002093"/>
    <x v="724"/>
    <n v="7.0958559836928253E-2"/>
    <n v="2.9173945283018838"/>
    <n v="38.19666605870021"/>
    <x v="1"/>
    <n v="9540"/>
  </r>
  <r>
    <x v="725"/>
    <n v="133728.98370000001"/>
    <n v="124363.5573"/>
    <x v="699"/>
    <n v="41.071555190417691"/>
    <x v="725"/>
    <n v="7.0032883978314489E-2"/>
    <n v="2.8763594594594579"/>
    <n v="38.195195730958233"/>
    <x v="1"/>
    <n v="3256"/>
  </r>
  <r>
    <x v="726"/>
    <n v="82778.444050000006"/>
    <n v="76876.492700000003"/>
    <x v="700"/>
    <n v="41.121929483358173"/>
    <x v="726"/>
    <n v="7.1298167267254922E-2"/>
    <n v="2.9319182066567322"/>
    <n v="38.190011276701441"/>
    <x v="1"/>
    <n v="2013"/>
  </r>
  <r>
    <x v="727"/>
    <n v="69522.836970000004"/>
    <n v="64616.076650000003"/>
    <x v="701"/>
    <n v="41.089147145390072"/>
    <x v="727"/>
    <n v="7.0577676830382102E-2"/>
    <n v="2.8999765484633571"/>
    <n v="38.189170596926715"/>
    <x v="1"/>
    <n v="1692"/>
  </r>
  <r>
    <x v="728"/>
    <n v="133021.27280000001"/>
    <n v="123500.78780000001"/>
    <x v="702"/>
    <n v="41.132118985776131"/>
    <x v="728"/>
    <n v="7.1571146476054462E-2"/>
    <n v="2.9438729128014884"/>
    <n v="38.188246072974643"/>
    <x v="1"/>
    <n v="3234"/>
  </r>
  <r>
    <x v="729"/>
    <n v="161267.52059999999"/>
    <n v="175378.1459"/>
    <x v="703"/>
    <n v="35.119233580139372"/>
    <x v="729"/>
    <n v="-8.7498246686630185E-2"/>
    <n v="-3.0728713632404165"/>
    <n v="38.192104943379789"/>
    <x v="0"/>
    <n v="4592"/>
  </r>
  <r>
    <x v="730"/>
    <n v="208583.21799999999"/>
    <n v="227060.26269999999"/>
    <x v="704"/>
    <n v="35.085486627418"/>
    <x v="730"/>
    <n v="-8.8583563323872003E-2"/>
    <n v="-3.107997426408744"/>
    <n v="38.193484053826744"/>
    <x v="0"/>
    <n v="5945"/>
  </r>
  <r>
    <x v="731"/>
    <n v="325457.52500000002"/>
    <n v="353929.73839999997"/>
    <x v="705"/>
    <n v="35.123842542628971"/>
    <x v="731"/>
    <n v="-8.7483653665712438E-2"/>
    <n v="-3.0727620764083667"/>
    <n v="38.196604619037338"/>
    <x v="0"/>
    <n v="9266"/>
  </r>
  <r>
    <x v="732"/>
    <n v="111650.2398"/>
    <n v="121448.2838"/>
    <x v="706"/>
    <n v="35.121182698961938"/>
    <x v="732"/>
    <n v="-8.7756587156026952E-2"/>
    <n v="-3.0821151305441958"/>
    <n v="38.203297829506134"/>
    <x v="0"/>
    <n v="3179"/>
  </r>
  <r>
    <x v="733"/>
    <n v="262421.2819"/>
    <n v="285675.84570000001"/>
    <x v="707"/>
    <n v="35.087749953202298"/>
    <x v="733"/>
    <n v="-8.8615388323808053E-2"/>
    <n v="-3.1093145875117045"/>
    <n v="38.197064540714003"/>
    <x v="0"/>
    <n v="7479"/>
  </r>
  <r>
    <x v="734"/>
    <n v="164527.53890000001"/>
    <n v="179308.94949999999"/>
    <x v="708"/>
    <n v="35.050604793353223"/>
    <x v="734"/>
    <n v="-8.9841559041274721E-2"/>
    <n v="-3.1490009799744243"/>
    <n v="38.199605773327647"/>
    <x v="0"/>
    <n v="4694"/>
  </r>
  <r>
    <x v="735"/>
    <n v="274990.14649999997"/>
    <n v="299576.2414"/>
    <x v="709"/>
    <n v="35.061857261252065"/>
    <x v="735"/>
    <n v="-8.9407184995263192E-2"/>
    <n v="-3.1347819584342815"/>
    <n v="38.196639219686347"/>
    <x v="0"/>
    <n v="7843"/>
  </r>
  <r>
    <x v="736"/>
    <n v="215737.84280000001"/>
    <n v="234642.0857"/>
    <x v="710"/>
    <n v="35.079324032520326"/>
    <x v="736"/>
    <n v="-8.7625993913015898E-2"/>
    <n v="-3.0738606341463424"/>
    <n v="38.153184666666668"/>
    <x v="0"/>
    <n v="6150"/>
  </r>
  <r>
    <x v="737"/>
    <n v="98646.982699999993"/>
    <n v="91610.559999999998"/>
    <x v="711"/>
    <n v="41.085790379008742"/>
    <x v="737"/>
    <n v="7.1329325108693831E-2"/>
    <n v="2.9306216992919616"/>
    <n v="38.15516867971678"/>
    <x v="1"/>
    <n v="2401"/>
  </r>
  <r>
    <x v="738"/>
    <n v="74401.215289999993"/>
    <n v="68988.861260000005"/>
    <x v="712"/>
    <n v="41.151114651548667"/>
    <x v="738"/>
    <n v="7.2745505687021261E-2"/>
    <n v="2.993558644911495"/>
    <n v="38.157556006637172"/>
    <x v="1"/>
    <n v="1808"/>
  </r>
  <r>
    <x v="739"/>
    <n v="106592.34299999999"/>
    <n v="99021.682920000007"/>
    <x v="713"/>
    <n v="41.091882420971473"/>
    <x v="739"/>
    <n v="7.1024426960949599E-2"/>
    <n v="2.9185274016962168"/>
    <n v="38.173355019275256"/>
    <x v="1"/>
    <n v="2594"/>
  </r>
  <r>
    <x v="740"/>
    <n v="134629.65820000001"/>
    <n v="124963.46550000001"/>
    <x v="714"/>
    <n v="41.120848564447158"/>
    <x v="740"/>
    <n v="7.1798389962784578E-2"/>
    <n v="2.9524107208307839"/>
    <n v="38.168437843616374"/>
    <x v="1"/>
    <n v="3274"/>
  </r>
  <r>
    <x v="741"/>
    <n v="90773.653059999997"/>
    <n v="84299.288239999994"/>
    <x v="715"/>
    <n v="41.129883579519706"/>
    <x v="741"/>
    <n v="7.1324273087484388E-2"/>
    <n v="2.9335590484821026"/>
    <n v="38.196324531037604"/>
    <x v="1"/>
    <n v="2207"/>
  </r>
  <r>
    <x v="742"/>
    <n v="121373.06819999999"/>
    <n v="112550.4323"/>
    <x v="716"/>
    <n v="41.157364598168868"/>
    <x v="742"/>
    <n v="7.2690227171829824E-2"/>
    <n v="2.9917381824347231"/>
    <n v="38.165626415734145"/>
    <x v="1"/>
    <n v="2949"/>
  </r>
  <r>
    <x v="743"/>
    <n v="99445.557100000005"/>
    <n v="92226.518100000001"/>
    <x v="717"/>
    <n v="41.144210633016137"/>
    <x v="743"/>
    <n v="7.2592876047149257E-2"/>
    <n v="2.9867765825403367"/>
    <n v="38.1574340504758"/>
    <x v="1"/>
    <n v="2417"/>
  </r>
  <r>
    <x v="744"/>
    <n v="67587.546929999997"/>
    <n v="62760.356829999997"/>
    <x v="718"/>
    <n v="41.111646551094886"/>
    <x v="744"/>
    <n v="7.1421294591435466E-2"/>
    <n v="2.9362470194647159"/>
    <n v="38.17539953163017"/>
    <x v="1"/>
    <n v="1644"/>
  </r>
  <r>
    <x v="745"/>
    <n v="61685.935239999999"/>
    <n v="57191.439319999998"/>
    <x v="719"/>
    <n v="41.151391087391595"/>
    <x v="745"/>
    <n v="7.2860951244613101E-2"/>
    <n v="2.9983294996664469"/>
    <n v="38.153061587725148"/>
    <x v="1"/>
    <n v="1499"/>
  </r>
  <r>
    <x v="746"/>
    <n v="150006.92980000001"/>
    <n v="139244.8958"/>
    <x v="720"/>
    <n v="41.120320668859655"/>
    <x v="746"/>
    <n v="7.1743578875647473E-2"/>
    <n v="2.9501189692982521"/>
    <n v="38.170201699561403"/>
    <x v="1"/>
    <n v="3648"/>
  </r>
  <r>
    <x v="747"/>
    <n v="191287.3535"/>
    <n v="177577.28719999999"/>
    <x v="721"/>
    <n v="41.119379514187443"/>
    <x v="747"/>
    <n v="7.1672622623220134E-2"/>
    <n v="2.9471337704213241"/>
    <n v="38.172245743766119"/>
    <x v="1"/>
    <n v="4652"/>
  </r>
  <r>
    <x v="748"/>
    <n v="92595.46084"/>
    <n v="86018.189610000001"/>
    <x v="722"/>
    <n v="41.116989715808174"/>
    <x v="748"/>
    <n v="7.1032328910432999E-2"/>
    <n v="2.9206355373001784"/>
    <n v="38.196354178507995"/>
    <x v="1"/>
    <n v="2252"/>
  </r>
  <r>
    <x v="749"/>
    <n v="96947.05429"/>
    <n v="89961.359500000006"/>
    <x v="723"/>
    <n v="41.131546156130675"/>
    <x v="749"/>
    <n v="7.205680297519429E-2"/>
    <n v="2.9638077174374189"/>
    <n v="38.167738438693256"/>
    <x v="1"/>
    <n v="2357"/>
  </r>
  <r>
    <x v="750"/>
    <n v="70512.894499999995"/>
    <n v="65453.276389999999"/>
    <x v="724"/>
    <n v="41.115390379008744"/>
    <x v="750"/>
    <n v="7.1754508815405335E-2"/>
    <n v="2.9502146413994126"/>
    <n v="38.165175737609331"/>
    <x v="1"/>
    <n v="1715"/>
  </r>
  <r>
    <x v="751"/>
    <n v="159590.4901"/>
    <n v="182351.13879999999"/>
    <x v="725"/>
    <n v="33.415094242043551"/>
    <x v="751"/>
    <n v="-0.14261907890462699"/>
    <n v="-4.7656299623115572"/>
    <n v="38.180724204355108"/>
    <x v="0"/>
    <n v="4776"/>
  </r>
  <r>
    <x v="752"/>
    <n v="67046.273419999998"/>
    <n v="61894.262560000003"/>
    <x v="726"/>
    <n v="41.18321463144963"/>
    <x v="752"/>
    <n v="7.6842613275850513E-2"/>
    <n v="3.1646258353808321"/>
    <n v="38.018588796068798"/>
    <x v="1"/>
    <n v="1628"/>
  </r>
  <r>
    <x v="753"/>
    <n v="266949.23879999999"/>
    <n v="294322.92719999998"/>
    <x v="727"/>
    <n v="34.197955265180632"/>
    <x v="753"/>
    <n v="-0.10254267261840189"/>
    <n v="-3.5067497309761677"/>
    <n v="37.704704996156799"/>
    <x v="0"/>
    <n v="7806"/>
  </r>
  <r>
    <x v="754"/>
    <n v="315272.22480000003"/>
    <n v="346093.06699999998"/>
    <x v="728"/>
    <n v="34.231511921824108"/>
    <x v="754"/>
    <n v="-9.7759459208789631E-2"/>
    <n v="-3.3464540933767566"/>
    <n v="37.577966015200865"/>
    <x v="0"/>
    <n v="9210"/>
  </r>
  <r>
    <x v="755"/>
    <n v="149138.9215"/>
    <n v="163505.71299999999"/>
    <x v="729"/>
    <n v="34.276929786256034"/>
    <x v="755"/>
    <n v="-9.6331603819462999E-2"/>
    <n v="-3.3019516203171619"/>
    <n v="37.578881406573196"/>
    <x v="0"/>
    <n v="4351"/>
  </r>
  <r>
    <x v="756"/>
    <n v="215171.03820000001"/>
    <n v="234621.59890000001"/>
    <x v="730"/>
    <n v="34.273819401083152"/>
    <x v="756"/>
    <n v="-9.0395811921123129E-2"/>
    <n v="-3.0982097323988498"/>
    <n v="37.372029133482002"/>
    <x v="0"/>
    <n v="6278"/>
  </r>
  <r>
    <x v="757"/>
    <n v="205197.89840000001"/>
    <n v="221931.58009999999"/>
    <x v="731"/>
    <n v="34.245310146862487"/>
    <x v="757"/>
    <n v="-8.154899163431191E-2"/>
    <n v="-2.7926705106809067"/>
    <n v="37.037980657543393"/>
    <x v="0"/>
    <n v="5992"/>
  </r>
  <r>
    <x v="758"/>
    <n v="214452.24840000001"/>
    <n v="231730.23269999999"/>
    <x v="732"/>
    <n v="34.230207246608146"/>
    <x v="758"/>
    <n v="-8.0567979253697491E-2"/>
    <n v="-2.7578586272944889"/>
    <n v="36.988065873902634"/>
    <x v="0"/>
    <n v="6265"/>
  </r>
  <r>
    <x v="759"/>
    <n v="195767.9736"/>
    <n v="210639.84820000001"/>
    <x v="733"/>
    <n v="34.207229355233267"/>
    <x v="759"/>
    <n v="-7.5966841391466547E-2"/>
    <n v="-2.5986151668705233"/>
    <n v="36.80584452210379"/>
    <x v="0"/>
    <n v="5723"/>
  </r>
  <r>
    <x v="760"/>
    <n v="397984.32929999998"/>
    <n v="437198.92959999997"/>
    <x v="734"/>
    <n v="33.444061285714284"/>
    <x v="760"/>
    <n v="-9.8533026084150377E-2"/>
    <n v="-3.2953445630252105"/>
    <n v="36.739405848739494"/>
    <x v="0"/>
    <n v="11900"/>
  </r>
  <r>
    <x v="761"/>
    <n v="512603.10350000003"/>
    <n v="561872.20600000001"/>
    <x v="735"/>
    <n v="33.405220169436298"/>
    <x v="761"/>
    <n v="-9.6115497864909E-2"/>
    <n v="-3.2107593678722708"/>
    <n v="36.615979537308569"/>
    <x v="0"/>
    <n v="15345"/>
  </r>
  <r>
    <x v="762"/>
    <n v="218104.06690000001"/>
    <n v="238662.19209999999"/>
    <x v="736"/>
    <n v="33.425910636015324"/>
    <x v="762"/>
    <n v="-9.4258330402549592E-2"/>
    <n v="-3.1506705287356311"/>
    <n v="36.576581164750955"/>
    <x v="0"/>
    <n v="6525"/>
  </r>
  <r>
    <x v="763"/>
    <n v="339004.33689999999"/>
    <n v="371177.18689999997"/>
    <x v="737"/>
    <n v="33.389573219738011"/>
    <x v="763"/>
    <n v="-9.4903948115243053E-2"/>
    <n v="-3.1688023244361219"/>
    <n v="36.558375544174133"/>
    <x v="0"/>
    <n v="10153"/>
  </r>
  <r>
    <x v="764"/>
    <n v="278116.36930000002"/>
    <n v="295645.62910000002"/>
    <x v="738"/>
    <n v="34.267665019714144"/>
    <x v="764"/>
    <n v="-6.3028507973550613E-2"/>
    <n v="-2.1598397979300188"/>
    <n v="36.427504817644163"/>
    <x v="0"/>
    <n v="8116"/>
  </r>
  <r>
    <x v="765"/>
    <n v="264159.30060000002"/>
    <n v="280392.27360000001"/>
    <x v="739"/>
    <n v="34.253021343360999"/>
    <x v="765"/>
    <n v="-6.1451453585503614E-2"/>
    <n v="-2.1048979512448156"/>
    <n v="36.357919294605814"/>
    <x v="0"/>
    <n v="7712"/>
  </r>
  <r>
    <x v="766"/>
    <n v="197778.13370000001"/>
    <n v="209372.2922"/>
    <x v="740"/>
    <n v="34.342443774960934"/>
    <x v="766"/>
    <n v="-5.8622044222475085E-2"/>
    <n v="-2.0132242576836248"/>
    <n v="36.355668032644559"/>
    <x v="0"/>
    <n v="5759"/>
  </r>
  <r>
    <x v="767"/>
    <n v="325749.00890000002"/>
    <n v="345287.81150000001"/>
    <x v="741"/>
    <n v="34.285760330491527"/>
    <x v="767"/>
    <n v="-5.9981157474520853E-2"/>
    <n v="-2.0564995895168963"/>
    <n v="36.342259920008424"/>
    <x v="0"/>
    <n v="9501"/>
  </r>
  <r>
    <x v="768"/>
    <n v="371561.97639999999"/>
    <n v="393884.43300000002"/>
    <x v="742"/>
    <n v="34.276935092250923"/>
    <x v="768"/>
    <n v="-6.0077343802179307E-2"/>
    <n v="-2.0592672140221424"/>
    <n v="36.336202306273066"/>
    <x v="0"/>
    <n v="10840"/>
  </r>
  <r>
    <x v="769"/>
    <n v="174581.67679999999"/>
    <n v="185040.8173"/>
    <x v="743"/>
    <n v="34.305694006681072"/>
    <x v="769"/>
    <n v="-5.9909726448451717E-2"/>
    <n v="-2.0552447435645576"/>
    <n v="36.36093875024563"/>
    <x v="0"/>
    <n v="5089"/>
  </r>
  <r>
    <x v="770"/>
    <n v="208489.3694"/>
    <n v="221372.83689999999"/>
    <x v="744"/>
    <n v="34.251580318712008"/>
    <x v="770"/>
    <n v="-6.1794361684131022E-2"/>
    <n v="-2.1165545424675543"/>
    <n v="36.368134861179563"/>
    <x v="0"/>
    <n v="6087"/>
  </r>
  <r>
    <x v="771"/>
    <n v="84495.166670000006"/>
    <n v="74682.266820000004"/>
    <x v="745"/>
    <n v="41.156924827082321"/>
    <x v="771"/>
    <n v="0.11613563516981699"/>
    <n v="4.7797856064296127"/>
    <n v="36.377139220652708"/>
    <x v="1"/>
    <n v="2053"/>
  </r>
  <r>
    <x v="772"/>
    <n v="76661.250029999996"/>
    <n v="66379.563599999994"/>
    <x v="746"/>
    <n v="42.006164399999996"/>
    <x v="772"/>
    <n v="0.13411842914088212"/>
    <n v="5.6338007835616395"/>
    <n v="36.372363616438356"/>
    <x v="1"/>
    <n v="1825"/>
  </r>
  <r>
    <x v="773"/>
    <n v="64034.940459999998"/>
    <n v="55491.338530000001"/>
    <x v="382"/>
    <n v="41.990124891803276"/>
    <x v="773"/>
    <n v="0.13342093970301783"/>
    <n v="5.6023619213114699"/>
    <n v="36.387762970491806"/>
    <x v="1"/>
    <n v="1525"/>
  </r>
  <r>
    <x v="774"/>
    <n v="148839.9749"/>
    <n v="129583.4921"/>
    <x v="747"/>
    <n v="42.021449717673633"/>
    <x v="774"/>
    <n v="0.12937708981029933"/>
    <n v="5.4366128740824422"/>
    <n v="36.584836843591191"/>
    <x v="1"/>
    <n v="3542"/>
  </r>
  <r>
    <x v="775"/>
    <n v="172541.5079"/>
    <n v="150538.98370000001"/>
    <x v="748"/>
    <n v="42.032036029232643"/>
    <x v="775"/>
    <n v="0.12752018031946263"/>
    <n v="5.3599328136418976"/>
    <n v="36.672103215590745"/>
    <x v="1"/>
    <n v="4105"/>
  </r>
  <r>
    <x v="776"/>
    <n v="87991.663"/>
    <n v="76378.504639999999"/>
    <x v="749"/>
    <n v="42.020851480420248"/>
    <x v="776"/>
    <n v="0.13198021226170031"/>
    <n v="5.5459208978032493"/>
    <n v="36.474930582616999"/>
    <x v="1"/>
    <n v="2094"/>
  </r>
  <r>
    <x v="777"/>
    <n v="123445.38159999999"/>
    <n v="108669.2254"/>
    <x v="750"/>
    <n v="41.988225034013603"/>
    <x v="777"/>
    <n v="0.11969792639046772"/>
    <n v="5.0259034693877567"/>
    <n v="36.962321564625846"/>
    <x v="1"/>
    <n v="2940"/>
  </r>
  <r>
    <x v="778"/>
    <n v="77344.691869999995"/>
    <n v="68269.24884"/>
    <x v="751"/>
    <n v="42.012325839217816"/>
    <x v="778"/>
    <n v="0.11733763249395172"/>
    <n v="4.9296268495382947"/>
    <n v="37.082698989679521"/>
    <x v="1"/>
    <n v="1841"/>
  </r>
  <r>
    <x v="779"/>
    <n v="158963.02489999999"/>
    <n v="167521.52590000001"/>
    <x v="752"/>
    <n v="35.098923581364538"/>
    <x v="779"/>
    <n v="-5.383957058809101E-2"/>
    <n v="-1.8897109737248883"/>
    <n v="36.988634555089426"/>
    <x v="0"/>
    <n v="4529"/>
  </r>
  <r>
    <x v="780"/>
    <n v="69598.071150000003"/>
    <n v="61492.968309999997"/>
    <x v="753"/>
    <n v="41.977123733413755"/>
    <x v="780"/>
    <n v="0.11645585439475224"/>
    <n v="4.8884818094089297"/>
    <n v="37.088641924004826"/>
    <x v="1"/>
    <n v="1658"/>
  </r>
  <r>
    <x v="781"/>
    <n v="161275.60219999999"/>
    <n v="143446.35829999999"/>
    <x v="754"/>
    <n v="41.987920385316322"/>
    <x v="781"/>
    <n v="0.11055140180403557"/>
    <n v="4.6418234574329631"/>
    <n v="37.346096927883359"/>
    <x v="1"/>
    <n v="3841"/>
  </r>
  <r>
    <x v="782"/>
    <n v="325215.07679999998"/>
    <n v="345446.00180000003"/>
    <x v="755"/>
    <n v="35.120418660907127"/>
    <x v="782"/>
    <n v="-6.2207832426052052E-2"/>
    <n v="-2.1847651187905015"/>
    <n v="37.305183779697629"/>
    <x v="0"/>
    <n v="9260"/>
  </r>
  <r>
    <x v="783"/>
    <n v="96957.295840000006"/>
    <n v="86455.494380000004"/>
    <x v="756"/>
    <n v="42.009226967071058"/>
    <x v="783"/>
    <n v="0.10831367942986148"/>
    <n v="4.5501739428076249"/>
    <n v="37.459053024263433"/>
    <x v="1"/>
    <n v="2308"/>
  </r>
  <r>
    <x v="784"/>
    <n v="85224.47709"/>
    <n v="75960.71802"/>
    <x v="757"/>
    <n v="42.023903890532544"/>
    <x v="784"/>
    <n v="0.10869833862655619"/>
    <n v="4.5679285355029577"/>
    <n v="37.455975355029587"/>
    <x v="1"/>
    <n v="2028"/>
  </r>
  <r>
    <x v="785"/>
    <n v="54612.878839999998"/>
    <n v="49071.802539999997"/>
    <x v="758"/>
    <n v="41.977616325903149"/>
    <x v="785"/>
    <n v="0.10146098168957103"/>
    <n v="4.2590901614142993"/>
    <n v="37.71852616448885"/>
    <x v="1"/>
    <n v="1301"/>
  </r>
  <r>
    <x v="786"/>
    <n v="81530.612380000006"/>
    <n v="81738.05644"/>
    <x v="759"/>
    <n v="36.841668495255313"/>
    <x v="786"/>
    <n v="-2.5443701935309116E-3"/>
    <n v="-9.3738843199275834E-2"/>
    <n v="36.935407338454588"/>
    <x v="0"/>
    <n v="2213"/>
  </r>
  <r>
    <x v="787"/>
    <n v="160947.53260000001"/>
    <n v="162597.49679999999"/>
    <x v="517"/>
    <n v="36.545761262488647"/>
    <x v="787"/>
    <n v="-1.0251565670786727E-2"/>
    <n v="-0.3746512715712953"/>
    <n v="36.920412534059942"/>
    <x v="0"/>
    <n v="4404"/>
  </r>
  <r>
    <x v="788"/>
    <n v="188736.24739999999"/>
    <n v="183103.23370000001"/>
    <x v="760"/>
    <n v="38.244427031408307"/>
    <x v="788"/>
    <n v="2.984595581187751E-2"/>
    <n v="1.1414414792299894"/>
    <n v="37.102985552178318"/>
    <x v="1"/>
    <n v="4935"/>
  </r>
  <r>
    <x v="789"/>
    <n v="215951.5079"/>
    <n v="210032.78810000001"/>
    <x v="761"/>
    <n v="38.500892832947052"/>
    <x v="789"/>
    <n v="2.7407633581983393E-2"/>
    <n v="1.055218363344629"/>
    <n v="37.445674469602423"/>
    <x v="1"/>
    <n v="5609"/>
  </r>
  <r>
    <x v="790"/>
    <n v="134995.85449999999"/>
    <n v="129938.7058"/>
    <x v="762"/>
    <n v="39.106562717265348"/>
    <x v="790"/>
    <n v="3.7461511086623711E-2"/>
    <n v="1.4649909327925812"/>
    <n v="37.641571784472767"/>
    <x v="1"/>
    <n v="3452"/>
  </r>
  <r>
    <x v="791"/>
    <n v="163079.378"/>
    <n v="160332.5894"/>
    <x v="55"/>
    <n v="38.191891803278686"/>
    <x v="791"/>
    <n v="1.6843261445355771E-2"/>
    <n v="0.64327601873536366"/>
    <n v="37.548615784543323"/>
    <x v="1"/>
    <n v="4270"/>
  </r>
  <r>
    <x v="792"/>
    <n v="180828.6741"/>
    <n v="182962.337"/>
    <x v="763"/>
    <n v="38.319278258105534"/>
    <x v="792"/>
    <n v="-1.1799361526148555E-2"/>
    <n v="-0.45214301758846887"/>
    <n v="38.771421275694003"/>
    <x v="0"/>
    <n v="4719"/>
  </r>
  <r>
    <x v="793"/>
    <n v="171196.1752"/>
    <n v="174428.68090000001"/>
    <x v="764"/>
    <n v="38.462407369130531"/>
    <x v="793"/>
    <n v="-1.888188037042085E-2"/>
    <n v="-0.72624257470231868"/>
    <n v="39.18864994383285"/>
    <x v="0"/>
    <n v="4451"/>
  </r>
  <r>
    <x v="794"/>
    <n v="129719.0505"/>
    <n v="131961.9325"/>
    <x v="765"/>
    <n v="38.560954369797862"/>
    <x v="794"/>
    <n v="-1.7290305405064599E-2"/>
    <n v="-0.66673067776456207"/>
    <n v="39.227685047562424"/>
    <x v="0"/>
    <n v="3364"/>
  </r>
  <r>
    <x v="795"/>
    <n v="142127.6421"/>
    <n v="144039.4137"/>
    <x v="766"/>
    <n v="38.779711350613915"/>
    <x v="795"/>
    <n v="-1.3451089258589814E-2"/>
    <n v="-0.52162935879945849"/>
    <n v="39.301340709413374"/>
    <x v="0"/>
    <n v="3665"/>
  </r>
  <r>
    <x v="796"/>
    <n v="152124.40789999999"/>
    <n v="153377.51199999999"/>
    <x v="767"/>
    <n v="39.116587271792234"/>
    <x v="796"/>
    <n v="-8.2373638609244959E-3"/>
    <n v="-0.32221756235535537"/>
    <n v="39.438804834147589"/>
    <x v="0"/>
    <n v="3889"/>
  </r>
  <r>
    <x v="797"/>
    <n v="74132.787020000003"/>
    <n v="74332.279479999997"/>
    <x v="768"/>
    <n v="39.390428809776836"/>
    <x v="797"/>
    <n v="-2.6910152446605537E-3"/>
    <n v="-0.10600024442082656"/>
    <n v="39.496429054197662"/>
    <x v="0"/>
    <n v="1882"/>
  </r>
  <r>
    <x v="798"/>
    <n v="91143.028609999994"/>
    <n v="95167.528730000005"/>
    <x v="769"/>
    <n v="37.897309193347191"/>
    <x v="798"/>
    <n v="-4.4155874358979254E-2"/>
    <n v="-1.6733888232848315"/>
    <n v="39.570698016632022"/>
    <x v="0"/>
    <n v="2405"/>
  </r>
  <r>
    <x v="799"/>
    <n v="60528.093359999999"/>
    <n v="62342.881170000001"/>
    <x v="770"/>
    <n v="38.381796677235258"/>
    <x v="799"/>
    <n v="-2.9982570229104631E-2"/>
    <n v="-1.1507849143944213"/>
    <n v="39.532581591629679"/>
    <x v="0"/>
    <n v="1577"/>
  </r>
  <r>
    <x v="800"/>
    <n v="38340.599609999997"/>
    <n v="35918.335149999999"/>
    <x v="771"/>
    <n v="41.99408500547645"/>
    <x v="800"/>
    <n v="6.3177532032342637E-2"/>
    <n v="2.653082650602407"/>
    <n v="39.341002354874043"/>
    <x v="1"/>
    <n v="913"/>
  </r>
  <r>
    <x v="801"/>
    <n v="37453.006179999997"/>
    <n v="35108.200109999998"/>
    <x v="772"/>
    <n v="41.987675089686093"/>
    <x v="801"/>
    <n v="6.2606618510962983E-2"/>
    <n v="2.6287063565022351"/>
    <n v="39.358968733183858"/>
    <x v="1"/>
    <n v="892"/>
  </r>
  <r>
    <x v="802"/>
    <n v="77997.045010000002"/>
    <n v="73051.675539999997"/>
    <x v="773"/>
    <n v="42.046924533692724"/>
    <x v="802"/>
    <n v="6.3404574742106701E-2"/>
    <n v="2.6659673692722379"/>
    <n v="39.380957164420487"/>
    <x v="1"/>
    <n v="1855"/>
  </r>
  <r>
    <x v="803"/>
    <n v="79752.282680000004"/>
    <n v="74962.816399999996"/>
    <x v="386"/>
    <n v="42.041266568265684"/>
    <x v="803"/>
    <n v="6.0054284580384726E-2"/>
    <n v="2.5247581866104412"/>
    <n v="39.516508381655242"/>
    <x v="1"/>
    <n v="1897"/>
  </r>
  <r>
    <x v="804"/>
    <n v="37155.588479999999"/>
    <n v="34962.830499999996"/>
    <x v="774"/>
    <n v="42.078809150622874"/>
    <x v="804"/>
    <n v="5.901556319530004E-2"/>
    <n v="2.4833046206115554"/>
    <n v="39.595504530011318"/>
    <x v="1"/>
    <n v="883"/>
  </r>
  <r>
    <x v="805"/>
    <n v="45046.513209999997"/>
    <n v="42368.04535"/>
    <x v="775"/>
    <n v="42.060236423902893"/>
    <x v="805"/>
    <n v="5.9460048495060806E-2"/>
    <n v="2.5009036974789893"/>
    <n v="39.559332726423904"/>
    <x v="1"/>
    <n v="1071"/>
  </r>
  <r>
    <x v="806"/>
    <n v="55489.332759999998"/>
    <n v="52263.056989999997"/>
    <x v="776"/>
    <n v="42.0373733030303"/>
    <x v="806"/>
    <n v="5.8142270045922977E-2"/>
    <n v="2.4441483106060602"/>
    <n v="39.59322499242424"/>
    <x v="1"/>
    <n v="1320"/>
  </r>
  <r>
    <x v="807"/>
    <n v="41893.303160000003"/>
    <n v="39495.455900000001"/>
    <x v="777"/>
    <n v="42.019361243731197"/>
    <x v="807"/>
    <n v="5.7237006374075618E-2"/>
    <n v="2.4050624473420257"/>
    <n v="39.614298796389171"/>
    <x v="1"/>
    <n v="997"/>
  </r>
  <r>
    <x v="808"/>
    <n v="34348.50419"/>
    <n v="32292.837599999999"/>
    <x v="778"/>
    <n v="42.042232790697675"/>
    <x v="808"/>
    <n v="5.9847339454114398E-2"/>
    <n v="2.5161157772337859"/>
    <n v="39.526117013463889"/>
    <x v="1"/>
    <n v="817"/>
  </r>
  <r>
    <x v="809"/>
    <n v="78276.831219999993"/>
    <n v="73746.758709999995"/>
    <x v="578"/>
    <n v="41.948998510182207"/>
    <x v="809"/>
    <n v="5.7872456503356123E-2"/>
    <n v="2.4276915916398707"/>
    <n v="39.521306918542336"/>
    <x v="1"/>
    <n v="1866"/>
  </r>
  <r>
    <x v="810"/>
    <n v="92851.402660000007"/>
    <n v="87451.566179999994"/>
    <x v="779"/>
    <n v="41.995206992311175"/>
    <x v="810"/>
    <n v="5.8155680208439538E-2"/>
    <n v="2.4422598281320731"/>
    <n v="39.552947164179102"/>
    <x v="1"/>
    <n v="2211"/>
  </r>
  <r>
    <x v="811"/>
    <n v="54845.789299999997"/>
    <n v="51625.511720000002"/>
    <x v="780"/>
    <n v="42.059654371165642"/>
    <x v="811"/>
    <n v="5.8715128747358451E-2"/>
    <n v="2.4695380214723883"/>
    <n v="39.590116349693254"/>
    <x v="1"/>
    <n v="1304"/>
  </r>
  <r>
    <x v="812"/>
    <n v="48037.799899999998"/>
    <n v="45187.641580000003"/>
    <x v="781"/>
    <n v="42.027821434820645"/>
    <x v="812"/>
    <n v="5.9331574841752797E-2"/>
    <n v="2.4935768328958829"/>
    <n v="39.534244601924762"/>
    <x v="1"/>
    <n v="1143"/>
  </r>
  <r>
    <x v="813"/>
    <n v="65905.723259999999"/>
    <n v="62023.881300000001"/>
    <x v="782"/>
    <n v="41.898107603305782"/>
    <x v="813"/>
    <n v="5.8899922009595714E-2"/>
    <n v="2.4677952701843537"/>
    <n v="39.430312333121428"/>
    <x v="1"/>
    <n v="1573"/>
  </r>
  <r>
    <x v="814"/>
    <n v="84870.051300000006"/>
    <n v="81472.827179999993"/>
    <x v="783"/>
    <n v="41.0992984503632"/>
    <x v="814"/>
    <n v="4.0028538547613832E-2"/>
    <n v="1.6451448523002483"/>
    <n v="39.454153598062952"/>
    <x v="1"/>
    <n v="2065"/>
  </r>
  <r>
    <x v="815"/>
    <n v="262459.50569999998"/>
    <n v="259298.4566"/>
    <x v="784"/>
    <n v="39.839026366120216"/>
    <x v="815"/>
    <n v="1.2043949757389087E-2"/>
    <n v="0.47981923193685105"/>
    <n v="39.359207134183364"/>
    <x v="1"/>
    <n v="6588"/>
  </r>
  <r>
    <x v="816"/>
    <n v="228124.39799999999"/>
    <n v="222208.3504"/>
    <x v="785"/>
    <n v="40.361712314225052"/>
    <x v="816"/>
    <n v="2.5933427778294854E-2"/>
    <n v="1.0467175513092712"/>
    <n v="39.314994762915781"/>
    <x v="1"/>
    <n v="5652"/>
  </r>
  <r>
    <x v="817"/>
    <n v="162929.4921"/>
    <n v="161434.81510000001"/>
    <x v="786"/>
    <n v="39.709844528393859"/>
    <x v="817"/>
    <n v="9.1737657850342984E-3"/>
    <n v="0.3642888130636095"/>
    <n v="39.345555715330249"/>
    <x v="1"/>
    <n v="4103"/>
  </r>
  <r>
    <x v="818"/>
    <n v="58359.832179999998"/>
    <n v="57681.569880000003"/>
    <x v="315"/>
    <n v="39.80888961800818"/>
    <x v="818"/>
    <n v="1.1622074201790395E-2"/>
    <n v="0.46266186903137196"/>
    <n v="39.346227748976808"/>
    <x v="1"/>
    <n v="1466"/>
  </r>
  <r>
    <x v="819"/>
    <n v="85605.331919999997"/>
    <n v="85022.380919999996"/>
    <x v="787"/>
    <n v="39.5954356706753"/>
    <x v="819"/>
    <n v="6.8097510625247156E-3"/>
    <n v="0.26963506012950944"/>
    <n v="39.325800610545791"/>
    <x v="1"/>
    <n v="2162"/>
  </r>
  <r>
    <x v="820"/>
    <n v="84836.414340000003"/>
    <n v="84595.217929999999"/>
    <x v="788"/>
    <n v="39.367245633410676"/>
    <x v="820"/>
    <n v="2.8430764298141846E-3"/>
    <n v="0.11192408816705779"/>
    <n v="39.255321545243618"/>
    <x v="1"/>
    <n v="2155"/>
  </r>
  <r>
    <x v="821"/>
    <n v="64308.914219999999"/>
    <n v="68427.594670000006"/>
    <x v="789"/>
    <n v="36.832138728522338"/>
    <x v="821"/>
    <n v="-6.4045249402128801E-2"/>
    <n v="-2.3589235108820148"/>
    <n v="39.191062239404353"/>
    <x v="0"/>
    <n v="1746"/>
  </r>
  <r>
    <x v="822"/>
    <n v="131168.48550000001"/>
    <n v="138589.10010000001"/>
    <x v="790"/>
    <n v="36.907283483398992"/>
    <x v="822"/>
    <n v="-5.6573151483097668E-2"/>
    <n v="-2.0879613393359548"/>
    <n v="38.995244822734946"/>
    <x v="0"/>
    <n v="3554"/>
  </r>
  <r>
    <x v="823"/>
    <n v="232410.198"/>
    <n v="245358.63"/>
    <x v="791"/>
    <n v="36.996211079274119"/>
    <x v="823"/>
    <n v="-5.571369979212358E-2"/>
    <n v="-2.0611957975167101"/>
    <n v="39.057406876790829"/>
    <x v="0"/>
    <n v="6282"/>
  </r>
  <r>
    <x v="824"/>
    <n v="195831.0975"/>
    <n v="205442.82810000001"/>
    <x v="792"/>
    <n v="37.237326012549914"/>
    <x v="824"/>
    <n v="-4.9081737899160829E-2"/>
    <n v="-1.8276726754135808"/>
    <n v="39.064998687963495"/>
    <x v="0"/>
    <n v="5259"/>
  </r>
  <r>
    <x v="825"/>
    <n v="90716.547890000002"/>
    <n v="95543.133650000003"/>
    <x v="793"/>
    <n v="37.087713773507765"/>
    <x v="825"/>
    <n v="-5.3205130400823517E-2"/>
    <n v="-1.9732566475879025"/>
    <n v="39.060970421095668"/>
    <x v="0"/>
    <n v="2446"/>
  </r>
  <r>
    <x v="826"/>
    <n v="131638.0196"/>
    <n v="130700.18889999999"/>
    <x v="794"/>
    <n v="39.35366804185351"/>
    <x v="826"/>
    <n v="7.1243148662501294E-3"/>
    <n v="0.28036792227204899"/>
    <n v="39.073300119581461"/>
    <x v="1"/>
    <n v="3345"/>
  </r>
  <r>
    <x v="827"/>
    <n v="81910.872619999995"/>
    <n v="79969.510550000006"/>
    <x v="795"/>
    <n v="39.995543271484372"/>
    <x v="827"/>
    <n v="2.3700908168886609E-2"/>
    <n v="0.94793069824218179"/>
    <n v="39.047612573242191"/>
    <x v="1"/>
    <n v="2048"/>
  </r>
  <r>
    <x v="828"/>
    <n v="54821.908510000001"/>
    <n v="50800.00851"/>
    <x v="796"/>
    <n v="42.073605917114349"/>
    <x v="828"/>
    <n v="7.3363005946178825E-2"/>
    <n v="3.0866462010744442"/>
    <n v="38.986959716039905"/>
    <x v="1"/>
    <n v="1303"/>
  </r>
  <r>
    <x v="829"/>
    <n v="155615.41940000001"/>
    <n v="171592.12590000001"/>
    <x v="797"/>
    <n v="35.262954769997734"/>
    <x v="829"/>
    <n v="-0.10266788832109781"/>
    <n v="-3.6203731021980516"/>
    <n v="38.883327872195785"/>
    <x v="0"/>
    <n v="4413"/>
  </r>
  <r>
    <x v="830"/>
    <n v="264086.89380000002"/>
    <n v="291378.57980000001"/>
    <x v="77"/>
    <n v="35.239777662129704"/>
    <x v="830"/>
    <n v="-0.10334358364890574"/>
    <n v="-3.6418049105951411"/>
    <n v="38.881582572724845"/>
    <x v="0"/>
    <n v="7494"/>
  </r>
  <r>
    <x v="831"/>
    <n v="272761.29749999999"/>
    <n v="298164.41609999997"/>
    <x v="798"/>
    <n v="35.249586133367792"/>
    <x v="831"/>
    <n v="-9.3133149141145982E-2"/>
    <n v="-3.2829049625226148"/>
    <n v="38.532491095890407"/>
    <x v="0"/>
    <n v="7738"/>
  </r>
  <r>
    <x v="832"/>
    <n v="104689.4279"/>
    <n v="113609.3043"/>
    <x v="799"/>
    <n v="35.391963455037185"/>
    <x v="832"/>
    <n v="-8.5203220410377353E-2"/>
    <n v="-3.0155092630155522"/>
    <n v="38.407472718052738"/>
    <x v="0"/>
    <n v="2958"/>
  </r>
  <r>
    <x v="833"/>
    <n v="131170.5969"/>
    <n v="142022.8126"/>
    <x v="408"/>
    <n v="35.327389415566927"/>
    <x v="833"/>
    <n v="-8.2733600032889695E-2"/>
    <n v="-2.9227621061136588"/>
    <n v="38.250151521680586"/>
    <x v="0"/>
    <n v="3713"/>
  </r>
  <r>
    <x v="834"/>
    <n v="123179.48940000001"/>
    <n v="132714.9602"/>
    <x v="800"/>
    <n v="35.153963869863013"/>
    <x v="834"/>
    <n v="-7.7411189528765773E-2"/>
    <n v="-2.7213101598173495"/>
    <n v="37.875274029680362"/>
    <x v="0"/>
    <n v="3504"/>
  </r>
  <r>
    <x v="835"/>
    <n v="124431.04640000001"/>
    <n v="132889.0569"/>
    <x v="801"/>
    <n v="35.209690548953027"/>
    <x v="835"/>
    <n v="-6.7973474021994468E-2"/>
    <n v="-2.3933249858517271"/>
    <n v="37.603015534804754"/>
    <x v="0"/>
    <n v="3534"/>
  </r>
  <r>
    <x v="836"/>
    <n v="162166.83600000001"/>
    <n v="172225.65270000001"/>
    <x v="539"/>
    <n v="35.245997826559446"/>
    <x v="836"/>
    <n v="-6.202758189103471E-2"/>
    <n v="-2.1862240165181461"/>
    <n v="37.432221843077592"/>
    <x v="0"/>
    <n v="4601"/>
  </r>
  <r>
    <x v="837"/>
    <n v="354042.0232"/>
    <n v="373200.30599999998"/>
    <x v="802"/>
    <n v="35.245597132901942"/>
    <x v="837"/>
    <n v="-5.4113019202744139E-2"/>
    <n v="-1.9072456744649031"/>
    <n v="37.152842807366845"/>
    <x v="0"/>
    <n v="10045"/>
  </r>
  <r>
    <x v="838"/>
    <n v="327352.26140000002"/>
    <n v="345338.62809999997"/>
    <x v="803"/>
    <n v="35.195383442640576"/>
    <x v="838"/>
    <n v="-5.4944989911103616E-2"/>
    <n v="-1.9338099881733086"/>
    <n v="37.129193430813885"/>
    <x v="0"/>
    <n v="9301"/>
  </r>
  <r>
    <x v="839"/>
    <n v="164809.30300000001"/>
    <n v="175167.42879999999"/>
    <x v="804"/>
    <n v="35.230718896964518"/>
    <x v="839"/>
    <n v="-6.2849157246906012E-2"/>
    <n v="-2.2142209918768643"/>
    <n v="37.444939888841382"/>
    <x v="0"/>
    <n v="4678"/>
  </r>
  <r>
    <x v="840"/>
    <n v="151157.79430000001"/>
    <n v="159828.76500000001"/>
    <x v="805"/>
    <n v="35.202094620400558"/>
    <x v="840"/>
    <n v="-5.7363702216975287E-2"/>
    <n v="-2.0193224732184447"/>
    <n v="37.221417093619003"/>
    <x v="0"/>
    <n v="4294"/>
  </r>
  <r>
    <x v="841"/>
    <n v="126895.9365"/>
    <n v="133726.2806"/>
    <x v="806"/>
    <n v="35.19022088186356"/>
    <x v="841"/>
    <n v="-5.3826342185512001E-2"/>
    <n v="-1.8941608707709392"/>
    <n v="37.084381752634499"/>
    <x v="0"/>
    <n v="3606"/>
  </r>
  <r>
    <x v="842"/>
    <n v="166395.44579999999"/>
    <n v="179020.54250000001"/>
    <x v="807"/>
    <n v="34.393436502687059"/>
    <x v="842"/>
    <n v="-7.5874051956775518E-2"/>
    <n v="-2.6095693881769364"/>
    <n v="37.003005890863996"/>
    <x v="0"/>
    <n v="4838"/>
  </r>
  <r>
    <x v="843"/>
    <n v="167796.3548"/>
    <n v="182485.09890000001"/>
    <x v="531"/>
    <n v="34.146592348392346"/>
    <x v="843"/>
    <n v="-8.7539113215587036E-2"/>
    <n v="-2.9891624135124175"/>
    <n v="37.135754761904764"/>
    <x v="0"/>
    <n v="4914"/>
  </r>
  <r>
    <x v="844"/>
    <n v="351146.01699999999"/>
    <n v="380098.15639999998"/>
    <x v="808"/>
    <n v="34.194762586425163"/>
    <x v="844"/>
    <n v="-8.245042802236878E-2"/>
    <n v="-2.8193728113740377"/>
    <n v="37.014135397799201"/>
    <x v="0"/>
    <n v="10269"/>
  </r>
  <r>
    <x v="845"/>
    <n v="420738.82179999998"/>
    <n v="455415.3493"/>
    <x v="809"/>
    <n v="34.159196378988391"/>
    <x v="845"/>
    <n v="-8.2418178934968028E-2"/>
    <n v="-2.8153387594381769"/>
    <n v="36.974535138426567"/>
    <x v="0"/>
    <n v="12317"/>
  </r>
  <r>
    <x v="846"/>
    <n v="186166.1508"/>
    <n v="202391.17869999999"/>
    <x v="810"/>
    <n v="34.140134017971761"/>
    <x v="846"/>
    <n v="-8.7153479997718178E-2"/>
    <n v="-2.975431487254717"/>
    <n v="37.115565505226478"/>
    <x v="0"/>
    <n v="5453"/>
  </r>
  <r>
    <x v="847"/>
    <n v="251449.52960000001"/>
    <n v="273255.09850000002"/>
    <x v="811"/>
    <n v="34.108726207270756"/>
    <x v="847"/>
    <n v="-8.6719465869305054E-2"/>
    <n v="-2.9578905181768889"/>
    <n v="37.066616725447645"/>
    <x v="0"/>
    <n v="7372"/>
  </r>
  <r>
    <x v="848"/>
    <n v="280321.81069999997"/>
    <n v="302469.83199999999"/>
    <x v="812"/>
    <n v="34.139789392278644"/>
    <x v="848"/>
    <n v="-7.9009268828185486E-2"/>
    <n v="-2.6973597978321848"/>
    <n v="36.837149190110829"/>
    <x v="0"/>
    <n v="8211"/>
  </r>
  <r>
    <x v="849"/>
    <n v="313434.93329999998"/>
    <n v="337931.11700000003"/>
    <x v="813"/>
    <n v="34.135801927684597"/>
    <x v="849"/>
    <n v="-7.815396784937774E-2"/>
    <n v="-2.667848366368986"/>
    <n v="36.803650294053583"/>
    <x v="0"/>
    <n v="9182"/>
  </r>
  <r>
    <x v="850"/>
    <n v="257324.60310000001"/>
    <n v="276852.17989999999"/>
    <x v="814"/>
    <n v="34.21869722074468"/>
    <x v="850"/>
    <n v="-7.5886940326538796E-2"/>
    <n v="-2.5967522340425546"/>
    <n v="36.815449454787235"/>
    <x v="0"/>
    <n v="7520"/>
  </r>
  <r>
    <x v="851"/>
    <n v="455554.33600000001"/>
    <n v="489215.0675"/>
    <x v="815"/>
    <n v="34.198208542902186"/>
    <x v="851"/>
    <n v="-7.3889608417644373E-2"/>
    <n v="-2.526892237819979"/>
    <n v="36.725100780722165"/>
    <x v="0"/>
    <n v="13321"/>
  </r>
  <r>
    <x v="852"/>
    <n v="556865.20330000005"/>
    <n v="598925.6679"/>
    <x v="816"/>
    <n v="34.213885678299341"/>
    <x v="852"/>
    <n v="-7.5530782585710804E-2"/>
    <n v="-2.5842015605799915"/>
    <n v="36.798087238879333"/>
    <x v="0"/>
    <n v="16276"/>
  </r>
  <r>
    <x v="853"/>
    <n v="354856.04489999998"/>
    <n v="380511.15919999999"/>
    <x v="817"/>
    <n v="34.160189150943395"/>
    <x v="853"/>
    <n v="-7.2297244667847607E-2"/>
    <n v="-2.4696875529457074"/>
    <n v="36.629876703889103"/>
    <x v="0"/>
    <n v="10388"/>
  </r>
  <r>
    <x v="854"/>
    <n v="283284.58130000002"/>
    <n v="304997.8518"/>
    <x v="818"/>
    <n v="34.138898686430466"/>
    <x v="854"/>
    <n v="-7.6648260912603308E-2"/>
    <n v="-2.6166872137864559"/>
    <n v="36.755585900216921"/>
    <x v="0"/>
    <n v="8298"/>
  </r>
  <r>
    <x v="855"/>
    <n v="297500.674"/>
    <n v="319786.35950000002"/>
    <x v="819"/>
    <n v="34.128791327291502"/>
    <x v="855"/>
    <n v="-7.4909697515508897E-2"/>
    <n v="-2.5565774348973278"/>
    <n v="36.68536876218883"/>
    <x v="0"/>
    <n v="8717"/>
  </r>
  <r>
    <x v="856"/>
    <n v="285968.4878"/>
    <n v="305506.99819999997"/>
    <x v="537"/>
    <n v="34.190397871831657"/>
    <x v="856"/>
    <n v="-6.8323998040178358E-2"/>
    <n v="-2.3360246771879503"/>
    <n v="36.526422549019607"/>
    <x v="0"/>
    <n v="8364"/>
  </r>
  <r>
    <x v="857"/>
    <n v="237946.63269999999"/>
    <n v="254527.4155"/>
    <x v="76"/>
    <n v="34.148483452927671"/>
    <x v="857"/>
    <n v="-6.9682779755512875E-2"/>
    <n v="-2.3795612514351276"/>
    <n v="36.528044704362799"/>
    <x v="0"/>
    <n v="6968"/>
  </r>
  <r>
    <x v="858"/>
    <n v="340851.50589999999"/>
    <n v="364361.03289999999"/>
    <x v="820"/>
    <n v="34.177429650055146"/>
    <x v="858"/>
    <n v="-6.8972929833254995E-2"/>
    <n v="-2.3573174571342648"/>
    <n v="36.534747107189411"/>
    <x v="0"/>
    <n v="9973"/>
  </r>
  <r>
    <x v="859"/>
    <n v="388187.60139999999"/>
    <n v="414644.62349999999"/>
    <x v="821"/>
    <n v="34.162422018833055"/>
    <x v="859"/>
    <n v="-6.8155247629194379E-2"/>
    <n v="-2.3283483323066108"/>
    <n v="36.490770351139666"/>
    <x v="0"/>
    <n v="11363"/>
  </r>
  <r>
    <x v="860"/>
    <n v="139178.9841"/>
    <n v="148731.09049999999"/>
    <x v="822"/>
    <n v="34.162735419734908"/>
    <x v="860"/>
    <n v="-6.8631815800126894E-2"/>
    <n v="-2.3446505645557139"/>
    <n v="36.507385984290622"/>
    <x v="0"/>
    <n v="4074"/>
  </r>
  <r>
    <x v="861"/>
    <n v="66400.303050000002"/>
    <n v="57741.73891"/>
    <x v="823"/>
    <n v="42.052123527549085"/>
    <x v="861"/>
    <n v="0.13039946720544376"/>
    <n v="5.4835745028499119"/>
    <n v="36.568549024699173"/>
    <x v="1"/>
    <n v="1579"/>
  </r>
  <r>
    <x v="862"/>
    <n v="42723.524460000001"/>
    <n v="37112.985059999999"/>
    <x v="824"/>
    <n v="42.050713051181106"/>
    <x v="862"/>
    <n v="0.13132201687276249"/>
    <n v="5.5221844488189049"/>
    <n v="36.528528602362201"/>
    <x v="1"/>
    <n v="1016"/>
  </r>
  <r>
    <x v="863"/>
    <n v="35014.39948"/>
    <n v="30393.740119999999"/>
    <x v="825"/>
    <n v="42.084614759615384"/>
    <x v="863"/>
    <n v="0.13196454683277639"/>
    <n v="5.5536771153846161"/>
    <n v="36.530937644230768"/>
    <x v="1"/>
    <n v="832"/>
  </r>
  <r>
    <x v="864"/>
    <n v="27210.406630000001"/>
    <n v="23570.159159999999"/>
    <x v="826"/>
    <n v="42.056269907264301"/>
    <x v="864"/>
    <n v="0.13378144323600658"/>
    <n v="5.6263484853168535"/>
    <n v="36.429921421947448"/>
    <x v="1"/>
    <n v="647"/>
  </r>
  <r>
    <x v="865"/>
    <n v="79840.088250000001"/>
    <n v="69078.714139999996"/>
    <x v="301"/>
    <n v="42.065378424657531"/>
    <x v="865"/>
    <n v="0.13478660089031158"/>
    <n v="5.6698493730242348"/>
    <n v="36.395529051633297"/>
    <x v="1"/>
    <n v="1898"/>
  </r>
  <r>
    <x v="866"/>
    <n v="82484.44829"/>
    <n v="71426.011639999997"/>
    <x v="599"/>
    <n v="42.062441759306473"/>
    <x v="866"/>
    <n v="0.13406692872722617"/>
    <n v="5.6391823814380402"/>
    <n v="36.423259377868433"/>
    <x v="1"/>
    <n v="1961"/>
  </r>
  <r>
    <x v="867"/>
    <n v="51497.23734"/>
    <n v="44611.939680000003"/>
    <x v="827"/>
    <n v="42.072906323529409"/>
    <x v="867"/>
    <n v="0.13370227250330388"/>
    <n v="5.6252431862745027"/>
    <n v="36.447663137254906"/>
    <x v="1"/>
    <n v="1224"/>
  </r>
  <r>
    <x v="868"/>
    <n v="42871.832869999998"/>
    <n v="37139.308259999998"/>
    <x v="828"/>
    <n v="42.072456202158975"/>
    <x v="868"/>
    <n v="0.13371307514149675"/>
    <n v="5.625637497546613"/>
    <n v="36.446818704612362"/>
    <x v="1"/>
    <n v="1019"/>
  </r>
  <r>
    <x v="869"/>
    <n v="39104.6391"/>
    <n v="33890.360430000001"/>
    <x v="829"/>
    <n v="42.047999032258062"/>
    <x v="869"/>
    <n v="0.13334169014233402"/>
    <n v="5.6067512580645129"/>
    <n v="36.441247774193549"/>
    <x v="1"/>
    <n v="930"/>
  </r>
  <r>
    <x v="870"/>
    <n v="34406.750010000003"/>
    <n v="29884.330590000001"/>
    <x v="830"/>
    <n v="42.062041577017119"/>
    <x v="870"/>
    <n v="0.13143988951835331"/>
    <n v="5.528630097799514"/>
    <n v="36.533411479217605"/>
    <x v="1"/>
    <n v="818"/>
  </r>
  <r>
    <x v="871"/>
    <n v="39403.658560000003"/>
    <n v="34229.63192"/>
    <x v="831"/>
    <n v="42.052997395944509"/>
    <x v="871"/>
    <n v="0.13130828022279978"/>
    <n v="5.5219067662753503"/>
    <n v="36.531090629669158"/>
    <x v="1"/>
    <n v="937"/>
  </r>
  <r>
    <x v="872"/>
    <n v="96830.902419999999"/>
    <n v="83926.003500000006"/>
    <x v="832"/>
    <n v="42.063815125977413"/>
    <x v="872"/>
    <n v="0.13327252558305749"/>
    <n v="5.6059508774978255"/>
    <n v="36.457864248479588"/>
    <x v="1"/>
    <n v="2302"/>
  </r>
  <r>
    <x v="873"/>
    <n v="99380.3946"/>
    <n v="86179.513389999993"/>
    <x v="833"/>
    <n v="42.056874566229368"/>
    <x v="873"/>
    <n v="0.13283184538693718"/>
    <n v="5.58649225983919"/>
    <n v="36.470382306390178"/>
    <x v="1"/>
    <n v="2363"/>
  </r>
  <r>
    <x v="874"/>
    <n v="61656.181329999999"/>
    <n v="53463.734559999997"/>
    <x v="315"/>
    <n v="42.057422462482947"/>
    <x v="874"/>
    <n v="0.13287308090249517"/>
    <n v="5.5882992974079144"/>
    <n v="36.469123165075032"/>
    <x v="1"/>
    <n v="1466"/>
  </r>
  <r>
    <x v="875"/>
    <n v="69163.557369999995"/>
    <n v="59948.438710000002"/>
    <x v="718"/>
    <n v="42.070290371046227"/>
    <x v="875"/>
    <n v="0.13323662070622602"/>
    <n v="5.6053033211678809"/>
    <n v="36.464987049878346"/>
    <x v="1"/>
    <n v="1644"/>
  </r>
  <r>
    <x v="876"/>
    <n v="113112.86500000001"/>
    <n v="117414.6989"/>
    <x v="834"/>
    <n v="35.084635545905712"/>
    <x v="876"/>
    <n v="-3.8031340643701297E-2"/>
    <n v="-1.334315725806448"/>
    <n v="36.41895127171216"/>
    <x v="0"/>
    <n v="3224"/>
  </r>
  <r>
    <x v="877"/>
    <n v="253686.30249999999"/>
    <n v="268974.57069999998"/>
    <x v="835"/>
    <n v="34.319034429112556"/>
    <x v="877"/>
    <n v="-6.0264460671856701E-2"/>
    <n v="-2.0682181006493465"/>
    <n v="36.387252529761902"/>
    <x v="0"/>
    <n v="7392"/>
  </r>
  <r>
    <x v="878"/>
    <n v="210305.29190000001"/>
    <n v="223289.0846"/>
    <x v="836"/>
    <n v="34.262836738351254"/>
    <x v="878"/>
    <n v="-6.1737831619442907E-2"/>
    <n v="-2.1153132453567949"/>
    <n v="36.378149983708049"/>
    <x v="0"/>
    <n v="6138"/>
  </r>
  <r>
    <x v="879"/>
    <n v="364087.42430000001"/>
    <n v="386499.89640000003"/>
    <x v="837"/>
    <n v="34.270277136671687"/>
    <x v="879"/>
    <n v="-6.1557940769557125E-2"/>
    <n v="-2.1096076901355474"/>
    <n v="36.379884826807235"/>
    <x v="0"/>
    <n v="10624"/>
  </r>
  <r>
    <x v="880"/>
    <n v="397480.36949999997"/>
    <n v="421674.10190000001"/>
    <x v="838"/>
    <n v="34.29511384814495"/>
    <x v="880"/>
    <n v="-6.0867741545158345E-2"/>
    <n v="-2.0874661259706642"/>
    <n v="36.382579974115615"/>
    <x v="0"/>
    <n v="11590"/>
  </r>
  <r>
    <x v="881"/>
    <n v="204028.17679999999"/>
    <n v="216777.31570000001"/>
    <x v="481"/>
    <n v="34.238660312132907"/>
    <x v="881"/>
    <n v="-6.2487148098654285E-2"/>
    <n v="-2.1394762376237608"/>
    <n v="36.378136549756668"/>
    <x v="0"/>
    <n v="5959"/>
  </r>
  <r>
    <x v="882"/>
    <n v="172797.9351"/>
    <n v="183715.80720000001"/>
    <x v="839"/>
    <n v="34.230969710776549"/>
    <x v="882"/>
    <n v="-6.3182885221873278E-2"/>
    <n v="-2.1628114302694144"/>
    <n v="36.393781141045963"/>
    <x v="0"/>
    <n v="5048"/>
  </r>
  <r>
    <x v="883"/>
    <n v="258970.65410000001"/>
    <n v="274386.01539999997"/>
    <x v="840"/>
    <n v="34.337132604083799"/>
    <x v="883"/>
    <n v="-5.9525514014601086E-2"/>
    <n v="-2.0439354680456034"/>
    <n v="36.381068072129402"/>
    <x v="0"/>
    <n v="7542"/>
  </r>
  <r>
    <x v="884"/>
    <n v="368789.57260000001"/>
    <n v="391923.65960000001"/>
    <x v="841"/>
    <n v="34.27093881609516"/>
    <x v="884"/>
    <n v="-6.2729775239854485E-2"/>
    <n v="-2.1498082891924568"/>
    <n v="36.420747105287617"/>
    <x v="0"/>
    <n v="10761"/>
  </r>
  <r>
    <x v="885"/>
    <n v="278071.38660000003"/>
    <n v="295548.24160000001"/>
    <x v="842"/>
    <n v="34.245244655172414"/>
    <x v="885"/>
    <n v="-6.2850245808066821E-2"/>
    <n v="-2.15232204433498"/>
    <n v="36.397566699507394"/>
    <x v="0"/>
    <n v="8120"/>
  </r>
  <r>
    <x v="886"/>
    <n v="373959.36200000002"/>
    <n v="396324.17869999999"/>
    <x v="843"/>
    <n v="34.32079313509545"/>
    <x v="886"/>
    <n v="-5.9805473462113685E-2"/>
    <n v="-2.0525712830396472"/>
    <n v="36.373364418135097"/>
    <x v="0"/>
    <n v="10896"/>
  </r>
  <r>
    <x v="887"/>
    <n v="402057.25290000002"/>
    <n v="426466.13219999999"/>
    <x v="844"/>
    <n v="34.28767294047416"/>
    <x v="887"/>
    <n v="-6.0709958902472445E-2"/>
    <n v="-2.0816032150776067"/>
    <n v="36.369276155551766"/>
    <x v="0"/>
    <n v="11726"/>
  </r>
  <r>
    <x v="888"/>
    <n v="205719.45319999999"/>
    <n v="218408.18210000001"/>
    <x v="845"/>
    <n v="34.246621142000997"/>
    <x v="888"/>
    <n v="-6.1679771662935846E-2"/>
    <n v="-2.1123237722656896"/>
    <n v="36.358944914266687"/>
    <x v="0"/>
    <n v="6007"/>
  </r>
  <r>
    <x v="889"/>
    <n v="177626.95009999999"/>
    <n v="188629.7542"/>
    <x v="846"/>
    <n v="34.257849585342328"/>
    <x v="889"/>
    <n v="-6.1943326132693696E-2"/>
    <n v="-2.1220451494696277"/>
    <n v="36.379894734811955"/>
    <x v="0"/>
    <n v="5185"/>
  </r>
  <r>
    <x v="890"/>
    <n v="70441.90741"/>
    <n v="60910.748399999997"/>
    <x v="847"/>
    <n v="42.054870095522389"/>
    <x v="890"/>
    <n v="0.13530523747071266"/>
    <n v="5.6902441850746328"/>
    <n v="36.364625910447756"/>
    <x v="1"/>
    <n v="1675"/>
  </r>
  <r>
    <x v="891"/>
    <n v="162923.84959999999"/>
    <n v="173292.68109999999"/>
    <x v="848"/>
    <n v="34.191783756558237"/>
    <x v="891"/>
    <n v="-6.3642195574539137E-2"/>
    <n v="-2.1760401888772236"/>
    <n v="36.367823945435461"/>
    <x v="0"/>
    <n v="4765"/>
  </r>
  <r>
    <x v="892"/>
    <n v="138752.5276"/>
    <n v="143791.47810000001"/>
    <x v="849"/>
    <n v="35.100563521376174"/>
    <x v="892"/>
    <n v="-3.6316098792278914E-2"/>
    <n v="-1.2747155325069528"/>
    <n v="36.375279053883126"/>
    <x v="0"/>
    <n v="3953"/>
  </r>
  <r>
    <x v="893"/>
    <n v="252458.2622"/>
    <n v="261502.3818"/>
    <x v="850"/>
    <n v="35.112414770514604"/>
    <x v="893"/>
    <n v="-3.5824217124790163E-2"/>
    <n v="-1.2578747705146043"/>
    <n v="36.370289541029209"/>
    <x v="0"/>
    <n v="7190"/>
  </r>
  <r>
    <x v="894"/>
    <n v="293917.85249999998"/>
    <n v="311853.52049999998"/>
    <x v="851"/>
    <n v="34.268141832808674"/>
    <x v="894"/>
    <n v="-6.1022724027966303E-2"/>
    <n v="-2.0911353620146897"/>
    <n v="36.359277194823363"/>
    <x v="0"/>
    <n v="8577"/>
  </r>
  <r>
    <x v="895"/>
    <n v="138350.12179999999"/>
    <n v="143346.6746"/>
    <x v="852"/>
    <n v="35.087527720010144"/>
    <x v="895"/>
    <n v="-3.6115275758289975E-2"/>
    <n v="-1.2671957392848086"/>
    <n v="36.354723459294952"/>
    <x v="0"/>
    <n v="3943"/>
  </r>
  <r>
    <x v="896"/>
    <n v="130067.27559999999"/>
    <n v="134950.56649999999"/>
    <x v="853"/>
    <n v="35.086937038036147"/>
    <x v="896"/>
    <n v="-3.7544346781105277E-2"/>
    <n v="-1.3173161316428335"/>
    <n v="36.404253169678981"/>
    <x v="0"/>
    <n v="3707"/>
  </r>
  <r>
    <x v="897"/>
    <n v="107168.6611"/>
    <n v="111173.15850000001"/>
    <x v="854"/>
    <n v="35.091244629993447"/>
    <x v="897"/>
    <n v="-3.7366309879185454E-2"/>
    <n v="-1.311230320890644"/>
    <n v="36.402474950884091"/>
    <x v="0"/>
    <n v="3054"/>
  </r>
  <r>
    <x v="898"/>
    <n v="224030.55439999999"/>
    <n v="237934.73420000001"/>
    <x v="855"/>
    <n v="34.250199419049075"/>
    <x v="898"/>
    <n v="-6.2063765530725359E-2"/>
    <n v="-2.1256963461244496"/>
    <n v="36.375895765173524"/>
    <x v="0"/>
    <n v="6541"/>
  </r>
  <r>
    <x v="899"/>
    <n v="201918.22210000001"/>
    <n v="209095.56969999999"/>
    <x v="856"/>
    <n v="35.122320768829361"/>
    <x v="899"/>
    <n v="-3.5545814168497371E-2"/>
    <n v="-1.2484514872151635"/>
    <n v="36.370772256044525"/>
    <x v="0"/>
    <n v="5749"/>
  </r>
  <r>
    <x v="900"/>
    <n v="329344.2683"/>
    <n v="341253.3296"/>
    <x v="857"/>
    <n v="35.0926231539691"/>
    <x v="900"/>
    <n v="-3.6159916677681564E-2"/>
    <n v="-1.2689463292487986"/>
    <n v="36.361569483217899"/>
    <x v="0"/>
    <n v="9385"/>
  </r>
  <r>
    <x v="901"/>
    <n v="308642.97720000002"/>
    <n v="327672.04149999999"/>
    <x v="858"/>
    <n v="34.248000133155792"/>
    <x v="901"/>
    <n v="-6.1653968195327424E-2"/>
    <n v="-2.1115251109631572"/>
    <n v="36.359525244118949"/>
    <x v="0"/>
    <n v="9012"/>
  </r>
  <r>
    <x v="902"/>
    <n v="134472.40659999999"/>
    <n v="139385.8762"/>
    <x v="859"/>
    <n v="35.101124145131813"/>
    <x v="902"/>
    <n v="-3.6538868636563922E-2"/>
    <n v="-1.2825553641346943"/>
    <n v="36.383679509266507"/>
    <x v="0"/>
    <n v="3831"/>
  </r>
  <r>
    <x v="903"/>
    <n v="143809.7206"/>
    <n v="148953.91089999999"/>
    <x v="860"/>
    <n v="35.10122543324384"/>
    <x v="903"/>
    <n v="-3.5770810752830208E-2"/>
    <n v="-1.2555992921649946"/>
    <n v="36.356824725408835"/>
    <x v="0"/>
    <n v="4097"/>
  </r>
  <r>
    <x v="904"/>
    <n v="123252.1511"/>
    <n v="127533.00930000001"/>
    <x v="861"/>
    <n v="35.124579965802226"/>
    <x v="904"/>
    <n v="-3.4732523220034915E-2"/>
    <n v="-1.2199652892561943"/>
    <n v="36.344545255058421"/>
    <x v="0"/>
    <n v="3509"/>
  </r>
  <r>
    <x v="905"/>
    <n v="40067.151210000004"/>
    <n v="34559.084519999997"/>
    <x v="862"/>
    <n v="42.043180703043028"/>
    <x v="905"/>
    <n v="0.13747088384525072"/>
    <n v="5.7797132109129166"/>
    <n v="36.263467492130111"/>
    <x v="1"/>
    <n v="953"/>
  </r>
  <r>
    <x v="906"/>
    <n v="143752.73680000001"/>
    <n v="155659.5337"/>
    <x v="863"/>
    <n v="33.392041068524975"/>
    <x v="906"/>
    <n v="-8.2828314542391271E-2"/>
    <n v="-2.7658064808362326"/>
    <n v="36.157847549361207"/>
    <x v="0"/>
    <n v="4305"/>
  </r>
  <r>
    <x v="907"/>
    <n v="389904.0086"/>
    <n v="422372.58159999998"/>
    <x v="864"/>
    <n v="33.419388754607013"/>
    <x v="907"/>
    <n v="-8.3273247475917272E-2"/>
    <n v="-2.7829410302562749"/>
    <n v="36.202329784863288"/>
    <x v="0"/>
    <n v="11667"/>
  </r>
  <r>
    <x v="908"/>
    <n v="461280.7856"/>
    <n v="498910.32900000003"/>
    <x v="865"/>
    <n v="33.443107779308342"/>
    <x v="908"/>
    <n v="-8.1576221196931697E-2"/>
    <n v="-2.7281623577176859"/>
    <n v="36.171270137026028"/>
    <x v="0"/>
    <n v="13793"/>
  </r>
  <r>
    <x v="909"/>
    <n v="221578.69680000001"/>
    <n v="240449.62229999999"/>
    <x v="866"/>
    <n v="33.36526077397982"/>
    <x v="909"/>
    <n v="-8.516579333902817E-2"/>
    <n v="-2.8415789037795491"/>
    <n v="36.206839677759369"/>
    <x v="0"/>
    <n v="6641"/>
  </r>
  <r>
    <x v="910"/>
    <n v="253702.223"/>
    <n v="274426.08029999997"/>
    <x v="867"/>
    <n v="33.412646253127882"/>
    <x v="910"/>
    <n v="-8.1685753695583396E-2"/>
    <n v="-2.7293371921506591"/>
    <n v="36.141983445278541"/>
    <x v="0"/>
    <n v="7593"/>
  </r>
  <r>
    <x v="911"/>
    <n v="200616.07620000001"/>
    <n v="217104.5797"/>
    <x v="845"/>
    <n v="33.397049475611787"/>
    <x v="911"/>
    <n v="-8.2189343009391347E-2"/>
    <n v="-2.7448815548526682"/>
    <n v="36.141931030464455"/>
    <x v="0"/>
    <n v="6007"/>
  </r>
  <r>
    <x v="912"/>
    <n v="211700.8132"/>
    <n v="229023.8107"/>
    <x v="868"/>
    <n v="33.364982379826635"/>
    <x v="912"/>
    <n v="-8.1827732440661202E-2"/>
    <n v="-2.7301808510638281"/>
    <n v="36.095163230890464"/>
    <x v="0"/>
    <n v="6345"/>
  </r>
  <r>
    <x v="913"/>
    <n v="282757.71139999997"/>
    <n v="305894.1801"/>
    <x v="869"/>
    <n v="33.336207427493513"/>
    <x v="913"/>
    <n v="-8.1824359751130837E-2"/>
    <n v="-2.7277138292855483"/>
    <n v="36.063921256779061"/>
    <x v="0"/>
    <n v="8482"/>
  </r>
  <r>
    <x v="914"/>
    <n v="479010.15669999999"/>
    <n v="517742.19260000001"/>
    <x v="870"/>
    <n v="33.39446156581149"/>
    <x v="914"/>
    <n v="-8.0858485688138679E-2"/>
    <n v="-2.7002255925822638"/>
    <n v="36.094687158393754"/>
    <x v="0"/>
    <n v="14344"/>
  </r>
  <r>
    <x v="915"/>
    <n v="454543.28580000001"/>
    <n v="490487.0246"/>
    <x v="871"/>
    <n v="33.400197354691748"/>
    <x v="915"/>
    <n v="-7.9076602653449624E-2"/>
    <n v="-2.6411741347637587"/>
    <n v="36.041371489455507"/>
    <x v="0"/>
    <n v="13609"/>
  </r>
  <r>
    <x v="916"/>
    <n v="242185.1807"/>
    <n v="261534.91200000001"/>
    <x v="343"/>
    <n v="33.363435831381736"/>
    <x v="916"/>
    <n v="-7.9896429847906111E-2"/>
    <n v="-2.6656194103871016"/>
    <n v="36.029055241768837"/>
    <x v="0"/>
    <n v="7259"/>
  </r>
  <r>
    <x v="917"/>
    <n v="281531.68560000003"/>
    <n v="304052.47700000001"/>
    <x v="872"/>
    <n v="33.392442841893015"/>
    <x v="917"/>
    <n v="-7.9993807276092926E-2"/>
    <n v="-2.6711886371723423"/>
    <n v="36.063631479065357"/>
    <x v="0"/>
    <n v="8431"/>
  </r>
  <r>
    <x v="918"/>
    <n v="219363.22010000001"/>
    <n v="237026.3505"/>
    <x v="873"/>
    <n v="33.353081967462373"/>
    <x v="918"/>
    <n v="-8.0520017858727602E-2"/>
    <n v="-2.6855907556636751"/>
    <n v="36.038672723126048"/>
    <x v="0"/>
    <n v="6577"/>
  </r>
  <r>
    <x v="919"/>
    <n v="204005.5822"/>
    <n v="219722.89499999999"/>
    <x v="874"/>
    <n v="33.454506756313549"/>
    <x v="919"/>
    <n v="-7.7043542782036609E-2"/>
    <n v="-2.5774537225319705"/>
    <n v="36.031960478845519"/>
    <x v="0"/>
    <n v="6098"/>
  </r>
  <r>
    <x v="920"/>
    <n v="69579.068459999995"/>
    <n v="59598.917800000003"/>
    <x v="875"/>
    <n v="42.067151426844013"/>
    <x v="920"/>
    <n v="0.14343610630167372"/>
    <n v="6.0339484038694025"/>
    <n v="36.033203022974611"/>
    <x v="1"/>
    <n v="1654"/>
  </r>
  <r>
    <x v="921"/>
    <n v="87184.740030000001"/>
    <n v="74654.520420000001"/>
    <x v="876"/>
    <n v="42.057279319826335"/>
    <x v="921"/>
    <n v="0.14372033002207027"/>
    <n v="6.0444860636758264"/>
    <n v="36.012793256150509"/>
    <x v="1"/>
    <n v="2073"/>
  </r>
  <r>
    <x v="922"/>
    <n v="78700.436050000004"/>
    <n v="67367.383239999996"/>
    <x v="877"/>
    <n v="42.063300935328705"/>
    <x v="922"/>
    <n v="0.14400241445676218"/>
    <n v="6.0572168947087164"/>
    <n v="36.006084040619989"/>
    <x v="1"/>
    <n v="1871"/>
  </r>
  <r>
    <x v="923"/>
    <n v="39809.559090000002"/>
    <n v="34091.569660000001"/>
    <x v="878"/>
    <n v="42.081986353065538"/>
    <x v="923"/>
    <n v="0.14363357848483022"/>
    <n v="6.0443862896405918"/>
    <n v="36.037600063424946"/>
    <x v="1"/>
    <n v="946"/>
  </r>
  <r>
    <x v="924"/>
    <n v="45839.238770000004"/>
    <n v="39231.195370000001"/>
    <x v="879"/>
    <n v="42.054347495412848"/>
    <x v="924"/>
    <n v="0.14415691833706257"/>
    <n v="6.0624251376146816"/>
    <n v="35.991922357798167"/>
    <x v="1"/>
    <n v="1090"/>
  </r>
  <r>
    <x v="925"/>
    <n v="36851.763749999998"/>
    <n v="31574.32547"/>
    <x v="880"/>
    <n v="42.068223458904107"/>
    <x v="925"/>
    <n v="0.14320721026547878"/>
    <n v="6.0244729223744287"/>
    <n v="36.043750536529679"/>
    <x v="1"/>
    <n v="876"/>
  </r>
  <r>
    <x v="926"/>
    <n v="33225.670469999997"/>
    <n v="28489.081399999999"/>
    <x v="881"/>
    <n v="42.057810721518983"/>
    <x v="926"/>
    <n v="0.14255811855705794"/>
    <n v="5.9956823670886052"/>
    <n v="36.062128354430378"/>
    <x v="1"/>
    <n v="790"/>
  </r>
  <r>
    <x v="927"/>
    <n v="30423.391459999999"/>
    <n v="26053.796719999998"/>
    <x v="882"/>
    <n v="42.079379612724757"/>
    <x v="927"/>
    <n v="0.14362615508350038"/>
    <n v="6.0436995020746878"/>
    <n v="36.03568011065007"/>
    <x v="1"/>
    <n v="723"/>
  </r>
  <r>
    <x v="928"/>
    <n v="80345.637659999993"/>
    <n v="68788.094540000006"/>
    <x v="883"/>
    <n v="42.065778879581146"/>
    <x v="928"/>
    <n v="0.14384779879286341"/>
    <n v="6.0510696963350696"/>
    <n v="36.014709183246076"/>
    <x v="1"/>
    <n v="1910"/>
  </r>
  <r>
    <x v="929"/>
    <n v="95297.338629999998"/>
    <n v="81655.857730000003"/>
    <x v="884"/>
    <n v="42.055312722859661"/>
    <x v="929"/>
    <n v="0.14314650436319321"/>
    <n v="6.0200710061782843"/>
    <n v="36.035241716681377"/>
    <x v="1"/>
    <n v="2266"/>
  </r>
  <r>
    <x v="930"/>
    <n v="45324.054530000001"/>
    <n v="38809.808900000004"/>
    <x v="610"/>
    <n v="42.044577486085345"/>
    <x v="930"/>
    <n v="0.14372601254568293"/>
    <n v="6.0428994712430395"/>
    <n v="36.001678014842305"/>
    <x v="1"/>
    <n v="1078"/>
  </r>
  <r>
    <x v="931"/>
    <n v="51604.118410000003"/>
    <n v="44222.784480000002"/>
    <x v="885"/>
    <n v="42.057146218418907"/>
    <x v="931"/>
    <n v="0.14303769073922643"/>
    <n v="6.0157570741646254"/>
    <n v="36.041389144254282"/>
    <x v="1"/>
    <n v="1227"/>
  </r>
  <r>
    <x v="932"/>
    <n v="37870.119030000002"/>
    <n v="32436.795969999999"/>
    <x v="886"/>
    <n v="42.077910033333332"/>
    <x v="932"/>
    <n v="0.1434725635717127"/>
    <n v="6.0370256222222238"/>
    <n v="36.040884411111108"/>
    <x v="1"/>
    <n v="900"/>
  </r>
  <r>
    <x v="933"/>
    <n v="42723.524460000001"/>
    <n v="36607.390659999997"/>
    <x v="824"/>
    <n v="42.050713051181106"/>
    <x v="933"/>
    <n v="0.14315611544937609"/>
    <n v="6.0198167322834735"/>
    <n v="36.030896318897632"/>
    <x v="1"/>
    <n v="1016"/>
  </r>
  <r>
    <x v="934"/>
    <n v="35169.915809999999"/>
    <n v="30133.318640000001"/>
    <x v="887"/>
    <n v="42.069277284688994"/>
    <x v="934"/>
    <n v="0.14320754127503263"/>
    <n v="6.0246377631578909"/>
    <n v="36.044639521531103"/>
    <x v="1"/>
    <n v="836"/>
  </r>
  <r>
    <x v="935"/>
    <n v="61148.205009999998"/>
    <n v="52384.447480000003"/>
    <x v="888"/>
    <n v="42.055161629986245"/>
    <x v="935"/>
    <n v="0.14331994747134108"/>
    <n v="6.0273435557083914"/>
    <n v="36.027818074277853"/>
    <x v="1"/>
    <n v="1454"/>
  </r>
  <r>
    <x v="936"/>
    <n v="77171.701799999995"/>
    <n v="66113.832039999994"/>
    <x v="889"/>
    <n v="42.055423324250675"/>
    <x v="936"/>
    <n v="0.14328917857296755"/>
    <n v="6.0260870626702996"/>
    <n v="36.029336261580376"/>
    <x v="1"/>
    <n v="1835"/>
  </r>
  <r>
    <x v="937"/>
    <n v="40881.354910000002"/>
    <n v="35019.112639999999"/>
    <x v="890"/>
    <n v="42.059007109053503"/>
    <x v="937"/>
    <n v="0.14339647702248826"/>
    <n v="6.0311134465020615"/>
    <n v="36.027893662551442"/>
    <x v="1"/>
    <n v="972"/>
  </r>
  <r>
    <x v="938"/>
    <n v="43085.595009999997"/>
    <n v="36887.366170000001"/>
    <x v="891"/>
    <n v="42.075776376953122"/>
    <x v="938"/>
    <n v="0.14385849466768214"/>
    <n v="6.0529578515624962"/>
    <n v="36.022818525390626"/>
    <x v="1"/>
    <n v="1024"/>
  </r>
  <r>
    <x v="939"/>
    <n v="43894.993430000002"/>
    <n v="37604.65842"/>
    <x v="892"/>
    <n v="42.045012863984674"/>
    <x v="939"/>
    <n v="0.14330415654421486"/>
    <n v="6.0252251053639867"/>
    <n v="36.019787758620687"/>
    <x v="1"/>
    <n v="1044"/>
  </r>
  <r>
    <x v="940"/>
    <n v="67780.728889999999"/>
    <n v="58196.145989999997"/>
    <x v="893"/>
    <n v="42.073698876474239"/>
    <x v="940"/>
    <n v="0.14140572190592154"/>
    <n v="5.9494617628801976"/>
    <n v="36.124237113594042"/>
    <x v="1"/>
    <n v="1611"/>
  </r>
  <r>
    <x v="941"/>
    <n v="51907.943149999999"/>
    <n v="44544.630740000001"/>
    <x v="894"/>
    <n v="42.064783752025932"/>
    <x v="941"/>
    <n v="0.14185328801647959"/>
    <n v="5.967027884927063"/>
    <n v="36.097755867098869"/>
    <x v="1"/>
    <n v="1234"/>
  </r>
  <r>
    <x v="942"/>
    <n v="93508.633889999997"/>
    <n v="80346.694130000003"/>
    <x v="895"/>
    <n v="42.064162793522264"/>
    <x v="942"/>
    <n v="0.14075641160027211"/>
    <n v="5.9208006117858716"/>
    <n v="36.143362181736393"/>
    <x v="1"/>
    <n v="2223"/>
  </r>
  <r>
    <x v="943"/>
    <n v="95343.595509999999"/>
    <n v="81874.288860000001"/>
    <x v="896"/>
    <n v="42.05716608292898"/>
    <x v="943"/>
    <n v="0.14127122622082453"/>
    <n v="5.9414674239082501"/>
    <n v="36.11569865902073"/>
    <x v="1"/>
    <n v="2267"/>
  </r>
  <r>
    <x v="944"/>
    <n v="59514.992330000001"/>
    <n v="51145.403339999997"/>
    <x v="897"/>
    <n v="42.06006525088339"/>
    <x v="944"/>
    <n v="0.14062992638211441"/>
    <n v="5.914903879858656"/>
    <n v="36.145161371024734"/>
    <x v="1"/>
    <n v="1415"/>
  </r>
  <r>
    <x v="945"/>
    <n v="65133.966200000003"/>
    <n v="55946.056559999997"/>
    <x v="898"/>
    <n v="42.076205555555561"/>
    <x v="945"/>
    <n v="0.14106172518018725"/>
    <n v="5.9353421447028509"/>
    <n v="36.14086341085271"/>
    <x v="1"/>
    <n v="1548"/>
  </r>
  <r>
    <x v="946"/>
    <n v="70641.253719999993"/>
    <n v="60629.553"/>
    <x v="899"/>
    <n v="42.073409005360332"/>
    <x v="946"/>
    <n v="0.1417259772835186"/>
    <n v="5.9628950089338915"/>
    <n v="36.110513996426441"/>
    <x v="1"/>
    <n v="1679"/>
  </r>
  <r>
    <x v="947"/>
    <n v="48442.171479999997"/>
    <n v="41610.783940000001"/>
    <x v="900"/>
    <n v="42.050496076388889"/>
    <x v="947"/>
    <n v="0.14102149699916788"/>
    <n v="5.9300239062499998"/>
    <n v="36.120472170138889"/>
    <x v="1"/>
    <n v="1152"/>
  </r>
  <r>
    <x v="948"/>
    <n v="46291.371919999998"/>
    <n v="39783.360670000002"/>
    <x v="901"/>
    <n v="42.044842797456859"/>
    <x v="948"/>
    <n v="0.14058799685710408"/>
    <n v="5.9110002270663031"/>
    <n v="36.133842570390556"/>
    <x v="1"/>
    <n v="1101"/>
  </r>
  <r>
    <x v="949"/>
    <n v="73453.143290000007"/>
    <n v="63386.492590000002"/>
    <x v="789"/>
    <n v="42.069383327605962"/>
    <x v="949"/>
    <n v="0.13704860335596408"/>
    <n v="5.7655502290950764"/>
    <n v="36.303833098510886"/>
    <x v="1"/>
    <n v="1746"/>
  </r>
  <r>
    <x v="950"/>
    <n v="71508.897949999999"/>
    <n v="61500.574650000002"/>
    <x v="902"/>
    <n v="42.064057617647059"/>
    <x v="950"/>
    <n v="0.13995913217678105"/>
    <n v="5.8872489999999971"/>
    <n v="36.176808617647062"/>
    <x v="1"/>
    <n v="1700"/>
  </r>
  <r>
    <x v="951"/>
    <n v="30066.126179999999"/>
    <n v="25872.48835"/>
    <x v="903"/>
    <n v="42.050526125874121"/>
    <x v="951"/>
    <n v="0.13948048394706763"/>
    <n v="5.86522773426573"/>
    <n v="36.185298391608391"/>
    <x v="1"/>
    <n v="715"/>
  </r>
  <r>
    <x v="952"/>
    <n v="37726.615899999997"/>
    <n v="32490.136020000002"/>
    <x v="904"/>
    <n v="42.05865763656633"/>
    <x v="952"/>
    <n v="0.13880067838260562"/>
    <n v="5.8377702118171655"/>
    <n v="36.220887424749165"/>
    <x v="1"/>
    <n v="897"/>
  </r>
  <r>
    <x v="953"/>
    <n v="30831.694630000002"/>
    <n v="26577.079450000001"/>
    <x v="905"/>
    <n v="42.062339195088676"/>
    <x v="953"/>
    <n v="0.13799485338247203"/>
    <n v="5.8043863301500664"/>
    <n v="36.257952864938609"/>
    <x v="1"/>
    <n v="733"/>
  </r>
  <r>
    <x v="954"/>
    <n v="146811.45509999999"/>
    <n v="155135.62909999999"/>
    <x v="906"/>
    <n v="34.285720481083601"/>
    <x v="954"/>
    <n v="-5.6699758164851809E-2"/>
    <n v="-1.9439920597851525"/>
    <n v="36.229712540868753"/>
    <x v="0"/>
    <n v="4282"/>
  </r>
  <r>
    <x v="955"/>
    <n v="99867.329620000004"/>
    <n v="103826.70140000001"/>
    <x v="907"/>
    <n v="34.833390170910363"/>
    <x v="955"/>
    <n v="-3.9646316719047177E-2"/>
    <n v="-1.3810156191140521"/>
    <n v="36.214405790024415"/>
    <x v="0"/>
    <n v="2867"/>
  </r>
  <r>
    <x v="956"/>
    <n v="210664.8628"/>
    <n v="220379.27669999999"/>
    <x v="908"/>
    <n v="34.637432226241366"/>
    <x v="956"/>
    <n v="-4.6113119059739013E-2"/>
    <n v="-1.5972400361723089"/>
    <n v="36.234672262413675"/>
    <x v="0"/>
    <n v="6082"/>
  </r>
  <r>
    <x v="957"/>
    <n v="266271.03909999999"/>
    <n v="281658.41830000002"/>
    <x v="909"/>
    <n v="34.26470712906962"/>
    <x v="957"/>
    <n v="-5.7788407075773589E-2"/>
    <n v="-1.9801028439068347"/>
    <n v="36.244809972976455"/>
    <x v="0"/>
    <n v="7771"/>
  </r>
  <r>
    <x v="958"/>
    <n v="123084.03909999999"/>
    <n v="129601.5272"/>
    <x v="119"/>
    <n v="34.419474021252796"/>
    <x v="958"/>
    <n v="-5.2951529277527609E-2"/>
    <n v="-1.8225637863534701"/>
    <n v="36.242037807606266"/>
    <x v="0"/>
    <n v="3576"/>
  </r>
  <r>
    <x v="959"/>
    <n v="162727.52480000001"/>
    <n v="168580.17060000001"/>
    <x v="49"/>
    <n v="35.002694084749415"/>
    <x v="959"/>
    <n v="-3.5965924063511581E-2"/>
    <n v="-1.2589042374704178"/>
    <n v="36.261598322219832"/>
    <x v="0"/>
    <n v="4649"/>
  </r>
  <r>
    <x v="960"/>
    <n v="114708.946"/>
    <n v="119758.06170000001"/>
    <x v="910"/>
    <n v="34.739232586311324"/>
    <x v="960"/>
    <n v="-4.4016756112465805E-2"/>
    <n v="-1.5291083282858935"/>
    <n v="36.268340914597218"/>
    <x v="0"/>
    <n v="3302"/>
  </r>
  <r>
    <x v="961"/>
    <n v="122318.9075"/>
    <n v="128298.3435"/>
    <x v="911"/>
    <n v="34.592451216063345"/>
    <x v="961"/>
    <n v="-4.8883987947652342E-2"/>
    <n v="-1.6910169683257976"/>
    <n v="36.283468184389143"/>
    <x v="0"/>
    <n v="3536"/>
  </r>
  <r>
    <x v="962"/>
    <n v="112010.34450000001"/>
    <n v="117374.19160000001"/>
    <x v="912"/>
    <n v="34.613827101359703"/>
    <x v="962"/>
    <n v="-4.788706903762803E-2"/>
    <n v="-1.6575547280593312"/>
    <n v="36.271381829419035"/>
    <x v="0"/>
    <n v="3236"/>
  </r>
  <r>
    <x v="963"/>
    <n v="229861.47029999999"/>
    <n v="241090.1336"/>
    <x v="913"/>
    <n v="34.586438504363528"/>
    <x v="963"/>
    <n v="-4.884969753889204E-2"/>
    <n v="-1.6895370598856445"/>
    <n v="36.275975564249173"/>
    <x v="0"/>
    <n v="6646"/>
  </r>
  <r>
    <x v="964"/>
    <n v="249981.24969999999"/>
    <n v="262145.17729999998"/>
    <x v="914"/>
    <n v="34.623441786703602"/>
    <x v="964"/>
    <n v="-4.8659359910384496E-2"/>
    <n v="-1.6847545152354542"/>
    <n v="36.308196301939056"/>
    <x v="0"/>
    <n v="7220"/>
  </r>
  <r>
    <x v="965"/>
    <n v="136480.24909999999"/>
    <n v="143734.22719999999"/>
    <x v="915"/>
    <n v="34.482124583122783"/>
    <x v="965"/>
    <n v="-5.3150387311243621E-2"/>
    <n v="-1.8327382769075342"/>
    <n v="36.314862860030317"/>
    <x v="0"/>
    <n v="3958"/>
  </r>
  <r>
    <x v="966"/>
    <n v="127369.8026"/>
    <n v="133350.16140000001"/>
    <x v="916"/>
    <n v="34.686765413943355"/>
    <x v="966"/>
    <n v="-4.6952720958366445E-2"/>
    <n v="-1.6286380174291963"/>
    <n v="36.315403431372552"/>
    <x v="0"/>
    <n v="3672"/>
  </r>
  <r>
    <x v="967"/>
    <n v="43537.728159999999"/>
    <n v="37649.38753"/>
    <x v="576"/>
    <n v="42.065437835748789"/>
    <x v="967"/>
    <n v="0.13524685092342215"/>
    <n v="5.6892179999999968"/>
    <n v="36.376219835748792"/>
    <x v="1"/>
    <n v="1035"/>
  </r>
  <r>
    <x v="968"/>
    <n v="120407.4133"/>
    <n v="127699.41590000001"/>
    <x v="917"/>
    <n v="33.927138151591997"/>
    <x v="968"/>
    <n v="-6.0561076765528417E-2"/>
    <n v="-2.0546640180332503"/>
    <n v="35.981802169625247"/>
    <x v="0"/>
    <n v="3549"/>
  </r>
  <r>
    <x v="969"/>
    <n v="226375.54310000001"/>
    <n v="240429.68549999999"/>
    <x v="918"/>
    <n v="34.056799022115243"/>
    <x v="969"/>
    <n v="-6.2083307266949994E-2"/>
    <n v="-2.1143587182187389"/>
    <n v="36.171157740333982"/>
    <x v="0"/>
    <n v="6647"/>
  </r>
  <r>
    <x v="970"/>
    <n v="337900.17820000002"/>
    <n v="358772.25040000002"/>
    <x v="919"/>
    <n v="34.103772527250712"/>
    <x v="970"/>
    <n v="-6.1769935461963583E-2"/>
    <n v="-2.1065878280177586"/>
    <n v="36.21036035526847"/>
    <x v="0"/>
    <n v="9908"/>
  </r>
  <r>
    <x v="971"/>
    <n v="355069.54009999998"/>
    <n v="376755.56449999998"/>
    <x v="920"/>
    <n v="34.164297132685462"/>
    <x v="971"/>
    <n v="-6.1075428756554147E-2"/>
    <n v="-2.0865990955450755"/>
    <n v="36.250896228230538"/>
    <x v="0"/>
    <n v="10393"/>
  </r>
  <r>
    <x v="972"/>
    <n v="153893.68520000001"/>
    <n v="163401.32920000001"/>
    <x v="921"/>
    <n v="34.145481517639233"/>
    <x v="972"/>
    <n v="-6.1780598649281031E-2"/>
    <n v="-2.1095282893277059"/>
    <n v="36.255009806966939"/>
    <x v="0"/>
    <n v="4507"/>
  </r>
  <r>
    <x v="973"/>
    <n v="159625.7409"/>
    <n v="169479.1061"/>
    <x v="922"/>
    <n v="34.166468514554794"/>
    <x v="973"/>
    <n v="-6.1727921477105575E-2"/>
    <n v="-2.1090250856164374"/>
    <n v="36.275493600171231"/>
    <x v="0"/>
    <n v="4672"/>
  </r>
  <r>
    <x v="974"/>
    <n v="133961.967"/>
    <n v="142299.9178"/>
    <x v="923"/>
    <n v="34.139135321100916"/>
    <x v="974"/>
    <n v="-6.2241179244553725E-2"/>
    <n v="-2.1248600407747205"/>
    <n v="36.263995361875637"/>
    <x v="0"/>
    <n v="3924"/>
  </r>
  <r>
    <x v="975"/>
    <n v="236305.15640000001"/>
    <n v="250572.4534"/>
    <x v="924"/>
    <n v="34.158016247470371"/>
    <x v="975"/>
    <n v="-6.0376579239131624E-2"/>
    <n v="-2.0623441746169391"/>
    <n v="36.22036042208731"/>
    <x v="0"/>
    <n v="6918"/>
  </r>
  <r>
    <x v="976"/>
    <n v="313491.73509999999"/>
    <n v="333030.87569999998"/>
    <x v="925"/>
    <n v="34.138270184035719"/>
    <x v="976"/>
    <n v="-6.2327450494882232E-2"/>
    <n v="-2.1277513448764012"/>
    <n v="36.26602152891212"/>
    <x v="0"/>
    <n v="9183"/>
  </r>
  <r>
    <x v="977"/>
    <n v="370355.00170000002"/>
    <n v="392493.08270000003"/>
    <x v="926"/>
    <n v="34.197137737765466"/>
    <x v="977"/>
    <n v="-5.9775299100544063E-2"/>
    <n v="-2.0441441366574367"/>
    <n v="36.241281874422903"/>
    <x v="0"/>
    <n v="10830"/>
  </r>
  <r>
    <x v="978"/>
    <n v="369091.05540000001"/>
    <n v="391842.50140000001"/>
    <x v="927"/>
    <n v="34.175097722222226"/>
    <x v="978"/>
    <n v="-6.1641824333410804E-2"/>
    <n v="-2.1066153703703705"/>
    <n v="36.281713092592597"/>
    <x v="0"/>
    <n v="10800"/>
  </r>
  <r>
    <x v="979"/>
    <n v="209026.0197"/>
    <n v="222163.72889999999"/>
    <x v="172"/>
    <n v="34.160160107860762"/>
    <x v="979"/>
    <n v="-6.2852027794700352E-2"/>
    <n v="-2.147035332570681"/>
    <n v="36.307195440431443"/>
    <x v="0"/>
    <n v="6119"/>
  </r>
  <r>
    <x v="980"/>
    <n v="228177.3168"/>
    <n v="242589.58720000001"/>
    <x v="928"/>
    <n v="34.132732505609575"/>
    <x v="980"/>
    <n v="-6.3162590401711696E-2"/>
    <n v="-2.1559118025430095"/>
    <n v="36.288644308152584"/>
    <x v="0"/>
    <n v="6685"/>
  </r>
  <r>
    <x v="981"/>
    <n v="154494.78200000001"/>
    <n v="164108.82639999999"/>
    <x v="929"/>
    <n v="34.187825182562513"/>
    <x v="981"/>
    <n v="-6.2228926281794966E-2"/>
    <n v="-2.1274716530205779"/>
    <n v="36.315296835583091"/>
    <x v="0"/>
    <n v="4519"/>
  </r>
  <r>
    <x v="982"/>
    <n v="50736.474170000001"/>
    <n v="43830.19685"/>
    <x v="930"/>
    <n v="42.070044917081262"/>
    <x v="982"/>
    <n v="0.13612056085843699"/>
    <n v="5.7265981094527376"/>
    <n v="36.343446807628524"/>
    <x v="1"/>
    <n v="1206"/>
  </r>
  <r>
    <x v="983"/>
    <n v="43292.149239999999"/>
    <n v="37391.680890000003"/>
    <x v="931"/>
    <n v="42.07205951409135"/>
    <x v="983"/>
    <n v="0.13629418852109629"/>
    <n v="5.7341772108843472"/>
    <n v="36.337882303207003"/>
    <x v="1"/>
    <n v="1029"/>
  </r>
  <r>
    <x v="984"/>
    <n v="77335.918600000005"/>
    <n v="69612.126699999993"/>
    <x v="932"/>
    <n v="40.342158894105374"/>
    <x v="984"/>
    <n v="9.9873280615561347E-2"/>
    <n v="4.0291037558685474"/>
    <n v="36.313055138236827"/>
    <x v="1"/>
    <n v="1917"/>
  </r>
  <r>
    <x v="985"/>
    <n v="85070.234890000007"/>
    <n v="76591.852920000005"/>
    <x v="933"/>
    <n v="40.355898904174573"/>
    <x v="985"/>
    <n v="9.9663319149911445E-2"/>
    <n v="4.0220028320683099"/>
    <n v="36.333896072106263"/>
    <x v="1"/>
    <n v="2108"/>
  </r>
  <r>
    <x v="986"/>
    <n v="48831.666109999998"/>
    <n v="44014.232020000003"/>
    <x v="934"/>
    <n v="40.323423707679602"/>
    <x v="986"/>
    <n v="9.8653895592013319E-2"/>
    <n v="3.9780628323699361"/>
    <n v="36.345360875309666"/>
    <x v="1"/>
    <n v="1211"/>
  </r>
  <r>
    <x v="987"/>
    <n v="52075.157180000002"/>
    <n v="46884.142509999998"/>
    <x v="321"/>
    <n v="40.33706985282727"/>
    <x v="987"/>
    <n v="9.9683130135489378E-2"/>
    <n v="4.0209253834237089"/>
    <n v="36.316144469403561"/>
    <x v="1"/>
    <n v="1291"/>
  </r>
  <r>
    <x v="988"/>
    <n v="30424.726259999999"/>
    <n v="27398.58813"/>
    <x v="935"/>
    <n v="40.297650675496691"/>
    <x v="988"/>
    <n v="9.946311773324068E-2"/>
    <n v="4.0081299735099378"/>
    <n v="36.289520701986753"/>
    <x v="1"/>
    <n v="755"/>
  </r>
  <r>
    <x v="989"/>
    <n v="20495.11303"/>
    <n v="18375.052609999999"/>
    <x v="936"/>
    <n v="40.344710688976377"/>
    <x v="989"/>
    <n v="0.10344224093308167"/>
    <n v="4.1733472834645653"/>
    <n v="36.171363405511812"/>
    <x v="1"/>
    <n v="508"/>
  </r>
  <r>
    <x v="990"/>
    <n v="40742.171679999999"/>
    <n v="36464.759810000003"/>
    <x v="937"/>
    <n v="40.33878384158416"/>
    <x v="990"/>
    <n v="0.10498733115151403"/>
    <n v="4.2350612574257411"/>
    <n v="36.103722584158419"/>
    <x v="1"/>
    <n v="1010"/>
  </r>
  <r>
    <x v="991"/>
    <n v="69864.836989999996"/>
    <n v="62545.19068"/>
    <x v="938"/>
    <n v="40.31438949221004"/>
    <x v="991"/>
    <n v="0.10476867370416514"/>
    <n v="4.2236851182919821"/>
    <n v="36.090704373918058"/>
    <x v="1"/>
    <n v="1733"/>
  </r>
  <r>
    <x v="992"/>
    <n v="100120.7111"/>
    <n v="89572.407619999998"/>
    <x v="939"/>
    <n v="40.338723247381147"/>
    <x v="992"/>
    <n v="0.10535585858418861"/>
    <n v="4.2499208219178115"/>
    <n v="36.088802425463335"/>
    <x v="1"/>
    <n v="2482"/>
  </r>
  <r>
    <x v="993"/>
    <n v="49825.097040000001"/>
    <n v="44593.796880000002"/>
    <x v="940"/>
    <n v="40.344208129554659"/>
    <x v="993"/>
    <n v="0.10499327589468151"/>
    <n v="4.2358705748987902"/>
    <n v="36.108337554655868"/>
    <x v="1"/>
    <n v="1235"/>
  </r>
  <r>
    <x v="994"/>
    <n v="46566.462050000002"/>
    <n v="41660.440430000002"/>
    <x v="941"/>
    <n v="40.317283160173162"/>
    <x v="994"/>
    <n v="0.10535525792645008"/>
    <n v="4.2476377662337654"/>
    <n v="36.069645393939396"/>
    <x v="1"/>
    <n v="1155"/>
  </r>
  <r>
    <x v="995"/>
    <n v="37923.76586"/>
    <n v="34031.149490000003"/>
    <x v="942"/>
    <n v="40.344431765957445"/>
    <x v="995"/>
    <n v="0.10264319172231057"/>
    <n v="4.1410812446808478"/>
    <n v="36.203350521276597"/>
    <x v="1"/>
    <n v="940"/>
  </r>
  <r>
    <x v="996"/>
    <n v="50084.812700000002"/>
    <n v="44832.212599999999"/>
    <x v="943"/>
    <n v="40.358430862207896"/>
    <x v="996"/>
    <n v="0.10487410887332724"/>
    <n v="4.2325544721998369"/>
    <n v="36.12587639000806"/>
    <x v="1"/>
    <n v="1241"/>
  </r>
  <r>
    <x v="997"/>
    <n v="41885.828280000002"/>
    <n v="37565.478589999999"/>
    <x v="944"/>
    <n v="40.313597959576519"/>
    <x v="997"/>
    <n v="0.10314585785720083"/>
    <n v="4.1581806448508232"/>
    <n v="36.155417314725696"/>
    <x v="1"/>
    <n v="1039"/>
  </r>
  <r>
    <x v="998"/>
    <n v="147503.57320000001"/>
    <n v="131964.51579999999"/>
    <x v="432"/>
    <n v="40.334583866557288"/>
    <x v="998"/>
    <n v="0.10534698965516327"/>
    <n v="4.2491269893355224"/>
    <n v="36.085456877221766"/>
    <x v="1"/>
    <n v="3657"/>
  </r>
  <r>
    <x v="999"/>
    <n v="151639.1838"/>
    <n v="135498.16320000001"/>
    <x v="282"/>
    <n v="40.351033475252791"/>
    <x v="999"/>
    <n v="0.10644359983689117"/>
    <n v="4.2951092602448071"/>
    <n v="36.055924215007984"/>
    <x v="1"/>
    <n v="3758"/>
  </r>
  <r>
    <x v="1000"/>
    <n v="72457.297590000002"/>
    <n v="64758.50417"/>
    <x v="542"/>
    <n v="40.321256310517533"/>
    <x v="1000"/>
    <n v="0.10625283685797482"/>
    <n v="4.2842478686700076"/>
    <n v="36.037008441847526"/>
    <x v="1"/>
    <n v="1797"/>
  </r>
  <r>
    <x v="1001"/>
    <n v="67355.061180000004"/>
    <n v="60179.020850000001"/>
    <x v="945"/>
    <n v="40.308235296229803"/>
    <x v="1001"/>
    <n v="0.10654047675530599"/>
    <n v="4.2944586056253726"/>
    <n v="36.013776690604431"/>
    <x v="1"/>
    <n v="1671"/>
  </r>
  <r>
    <x v="1002"/>
    <n v="58941.792829999999"/>
    <n v="52812.782509999997"/>
    <x v="946"/>
    <n v="40.315863768809848"/>
    <x v="1002"/>
    <n v="0.1039841176476817"/>
    <n v="4.1922095212038286"/>
    <n v="36.123654247606019"/>
    <x v="1"/>
    <n v="1462"/>
  </r>
  <r>
    <x v="1003"/>
    <n v="58796.785020000003"/>
    <n v="57168.5605"/>
    <x v="947"/>
    <n v="37.189617343453513"/>
    <x v="1003"/>
    <n v="2.7692407322035636E-2"/>
    <n v="1.0298700316255562"/>
    <n v="36.159747311827957"/>
    <x v="1"/>
    <n v="1581"/>
  </r>
  <r>
    <x v="1004"/>
    <n v="57019.389669999997"/>
    <n v="55187.383909999997"/>
    <x v="948"/>
    <n v="37.170397438070403"/>
    <x v="1004"/>
    <n v="3.212952244144917E-2"/>
    <n v="1.1942671186440705"/>
    <n v="35.976130319426332"/>
    <x v="1"/>
    <n v="1534"/>
  </r>
  <r>
    <x v="1005"/>
    <n v="155918.38260000001"/>
    <n v="151036.4455"/>
    <x v="659"/>
    <n v="36.982538567362433"/>
    <x v="1005"/>
    <n v="3.1310850065218734E-2"/>
    <n v="1.1579547201138567"/>
    <n v="35.824583847248576"/>
    <x v="1"/>
    <n v="4216"/>
  </r>
  <r>
    <x v="1006"/>
    <n v="208489.09030000001"/>
    <n v="201416.8376"/>
    <x v="949"/>
    <n v="37.018659499289775"/>
    <x v="1006"/>
    <n v="3.392145214804082E-2"/>
    <n v="1.2557266867897781"/>
    <n v="35.762932812499997"/>
    <x v="1"/>
    <n v="5632"/>
  </r>
  <r>
    <x v="1007"/>
    <n v="118580.47259999999"/>
    <n v="113346.95729999999"/>
    <x v="950"/>
    <n v="37.371721588402139"/>
    <x v="1007"/>
    <n v="4.4134714470685954E-2"/>
    <n v="1.6493902615820986"/>
    <n v="35.72233132682004"/>
    <x v="1"/>
    <n v="3173"/>
  </r>
  <r>
    <x v="1008"/>
    <n v="142758.8811"/>
    <n v="126506.3447"/>
    <x v="951"/>
    <n v="40.327367542372883"/>
    <x v="1008"/>
    <n v="0.11384606179853281"/>
    <n v="4.591111977401134"/>
    <n v="35.736255564971749"/>
    <x v="1"/>
    <n v="3540"/>
  </r>
  <r>
    <x v="1009"/>
    <n v="96620.986929999999"/>
    <n v="85491.833240000007"/>
    <x v="952"/>
    <n v="40.309130967876513"/>
    <x v="1009"/>
    <n v="0.1151836060012805"/>
    <n v="4.6429510596579036"/>
    <n v="35.666179908218609"/>
    <x v="1"/>
    <n v="2397"/>
  </r>
  <r>
    <x v="1010"/>
    <n v="78861.594939999995"/>
    <n v="69675.429149999996"/>
    <x v="953"/>
    <n v="40.338411734015345"/>
    <x v="1010"/>
    <n v="0.11648465640327309"/>
    <n v="4.698806030690541"/>
    <n v="35.639605703324804"/>
    <x v="1"/>
    <n v="1955"/>
  </r>
  <r>
    <x v="1011"/>
    <n v="70279.474390000003"/>
    <n v="61976.305789999999"/>
    <x v="954"/>
    <n v="40.390502522988506"/>
    <x v="1011"/>
    <n v="0.11814500139718538"/>
    <n v="4.7719359770114949"/>
    <n v="35.618566545977011"/>
    <x v="1"/>
    <n v="1740"/>
  </r>
  <r>
    <x v="1012"/>
    <n v="87748.862890000004"/>
    <n v="77446.60944"/>
    <x v="20"/>
    <n v="40.325764195772059"/>
    <x v="1012"/>
    <n v="0.1174061191301667"/>
    <n v="4.7344914751838232"/>
    <n v="35.591272720588236"/>
    <x v="1"/>
    <n v="2176"/>
  </r>
  <r>
    <x v="1013"/>
    <n v="92053.325769999996"/>
    <n v="81209.248349999994"/>
    <x v="955"/>
    <n v="40.321211462987293"/>
    <x v="1013"/>
    <n v="0.11780212533650865"/>
    <n v="4.7499244064826982"/>
    <n v="35.571287056504595"/>
    <x v="1"/>
    <n v="2283"/>
  </r>
  <r>
    <x v="1014"/>
    <n v="51751.383249999999"/>
    <n v="45607.234100000001"/>
    <x v="956"/>
    <n v="40.304815615264793"/>
    <x v="1014"/>
    <n v="0.11872434636807505"/>
    <n v="4.7851628894080918"/>
    <n v="35.519652725856702"/>
    <x v="1"/>
    <n v="1284"/>
  </r>
  <r>
    <x v="1015"/>
    <n v="50934.983189999999"/>
    <n v="44983.777300000002"/>
    <x v="957"/>
    <n v="40.328569429928741"/>
    <x v="1015"/>
    <n v="0.11683926286577022"/>
    <n v="4.7119603246239095"/>
    <n v="35.616609105304832"/>
    <x v="1"/>
    <n v="1263"/>
  </r>
  <r>
    <x v="1016"/>
    <n v="36113.934869999997"/>
    <n v="31885.28845"/>
    <x v="958"/>
    <n v="40.305730881696427"/>
    <x v="1016"/>
    <n v="0.11709182162569474"/>
    <n v="4.7194714508928541"/>
    <n v="35.586259430803572"/>
    <x v="1"/>
    <n v="896"/>
  </r>
  <r>
    <x v="1017"/>
    <n v="31023.359769999999"/>
    <n v="27817.642469999999"/>
    <x v="959"/>
    <n v="40.394999700520835"/>
    <x v="1017"/>
    <n v="0.10333237030954885"/>
    <n v="4.1741110677083384"/>
    <n v="36.220888632812496"/>
    <x v="1"/>
    <n v="768"/>
  </r>
  <r>
    <x v="1018"/>
    <n v="22334.212530000001"/>
    <n v="19704.093150000001"/>
    <x v="960"/>
    <n v="42.867970307101729"/>
    <x v="1018"/>
    <n v="0.11776190346837359"/>
    <n v="5.0482137811900216"/>
    <n v="37.819756525911707"/>
    <x v="1"/>
    <n v="521"/>
  </r>
  <r>
    <x v="1019"/>
    <n v="69440.928799999994"/>
    <n v="62070.751179999999"/>
    <x v="202"/>
    <n v="42.917755747836829"/>
    <x v="1019"/>
    <n v="0.10613593088921926"/>
    <n v="4.5551159579728022"/>
    <n v="38.362639789864026"/>
    <x v="1"/>
    <n v="1618"/>
  </r>
  <r>
    <x v="1020"/>
    <n v="92159.029790000001"/>
    <n v="83371.817020000002"/>
    <x v="961"/>
    <n v="42.924559753143924"/>
    <x v="1020"/>
    <n v="9.5348364560945947E-2"/>
    <n v="4.0927865719608789"/>
    <n v="38.831773181183046"/>
    <x v="1"/>
    <n v="2147"/>
  </r>
  <r>
    <x v="1021"/>
    <n v="57296.287850000001"/>
    <n v="52701.294609999997"/>
    <x v="962"/>
    <n v="42.918567677902622"/>
    <x v="1021"/>
    <n v="8.0197049624393835E-2"/>
    <n v="3.4419425018726599"/>
    <n v="39.476625176029962"/>
    <x v="1"/>
    <n v="1335"/>
  </r>
  <r>
    <x v="1022"/>
    <n v="57184.941270000003"/>
    <n v="51764.93737"/>
    <x v="963"/>
    <n v="42.931637590090091"/>
    <x v="1022"/>
    <n v="9.4780265217189463E-2"/>
    <n v="4.0690719969969962"/>
    <n v="38.862565593093095"/>
    <x v="1"/>
    <n v="1332"/>
  </r>
  <r>
    <x v="1023"/>
    <n v="40951.10428"/>
    <n v="37288.62455"/>
    <x v="964"/>
    <n v="42.925685828092242"/>
    <x v="1023"/>
    <n v="8.943543267986323E-2"/>
    <n v="3.8390772851153017"/>
    <n v="39.08660854297694"/>
    <x v="1"/>
    <n v="954"/>
  </r>
  <r>
    <x v="1024"/>
    <n v="37672.447289999996"/>
    <n v="33678.459269999999"/>
    <x v="965"/>
    <n v="42.956040239452676"/>
    <x v="1024"/>
    <n v="0.10601880969543982"/>
    <n v="4.5541482554161874"/>
    <n v="38.401891984036489"/>
    <x v="1"/>
    <n v="877"/>
  </r>
  <r>
    <x v="1025"/>
    <n v="38648.137519999997"/>
    <n v="35038.06869"/>
    <x v="966"/>
    <n v="42.657988432671075"/>
    <x v="1025"/>
    <n v="9.3408610651207313E-2"/>
    <n v="3.9846234326710785"/>
    <n v="38.673364999999997"/>
    <x v="1"/>
    <n v="906"/>
  </r>
  <r>
    <x v="1026"/>
    <n v="96020.545370000007"/>
    <n v="86810.277530000007"/>
    <x v="967"/>
    <n v="42.694773397065369"/>
    <x v="1026"/>
    <n v="9.5919761802119405E-2"/>
    <n v="4.0952724944419785"/>
    <n v="38.59950090262339"/>
    <x v="1"/>
    <n v="2249"/>
  </r>
  <r>
    <x v="1027"/>
    <n v="105662.59420000001"/>
    <n v="95930.016510000001"/>
    <x v="968"/>
    <n v="42.743767880258901"/>
    <x v="1027"/>
    <n v="9.2109963451947927E-2"/>
    <n v="3.9371268972491933"/>
    <n v="38.806640983009707"/>
    <x v="1"/>
    <n v="2472"/>
  </r>
  <r>
    <x v="1028"/>
    <n v="54738.483520000002"/>
    <n v="49990.519289999997"/>
    <x v="969"/>
    <n v="42.76444025"/>
    <x v="1028"/>
    <n v="8.6739053124575943E-2"/>
    <n v="3.7093470546875054"/>
    <n v="39.055093195312494"/>
    <x v="1"/>
    <n v="1280"/>
  </r>
  <r>
    <x v="1029"/>
    <n v="40131.573510000002"/>
    <n v="36347.69872"/>
    <x v="942"/>
    <n v="42.693163308510641"/>
    <x v="1029"/>
    <n v="9.4286728853458346E-2"/>
    <n v="4.0253987127659627"/>
    <n v="38.667764595744679"/>
    <x v="1"/>
    <n v="940"/>
  </r>
  <r>
    <x v="1030"/>
    <n v="70402.991930000004"/>
    <n v="63452.761039999998"/>
    <x v="970"/>
    <n v="42.668479957575762"/>
    <x v="1030"/>
    <n v="9.8720675066060443E-2"/>
    <n v="4.2122611454545549"/>
    <n v="38.456218812121207"/>
    <x v="1"/>
    <n v="1650"/>
  </r>
  <r>
    <x v="1031"/>
    <n v="62501.740700000002"/>
    <n v="56100.87429"/>
    <x v="545"/>
    <n v="42.605140218132242"/>
    <x v="1031"/>
    <n v="0.10241101029047023"/>
    <n v="4.3632354533060678"/>
    <n v="38.241904764826174"/>
    <x v="1"/>
    <n v="1467"/>
  </r>
  <r>
    <x v="1032"/>
    <n v="53675.218280000001"/>
    <n v="48201.940979999999"/>
    <x v="971"/>
    <n v="42.701048750994431"/>
    <x v="1032"/>
    <n v="0.10197028489848559"/>
    <n v="4.3542381066030202"/>
    <n v="38.346810644391411"/>
    <x v="1"/>
    <n v="1257"/>
  </r>
  <r>
    <x v="1033"/>
    <n v="102606.327"/>
    <n v="92657.699529999998"/>
    <x v="769"/>
    <n v="42.663753430353431"/>
    <x v="1033"/>
    <n v="9.6959200868772993E-2"/>
    <n v="4.136643438669438"/>
    <n v="38.527109991683993"/>
    <x v="1"/>
    <n v="2405"/>
  </r>
  <r>
    <x v="1034"/>
    <n v="124988.15549999999"/>
    <n v="113187.84600000001"/>
    <x v="972"/>
    <n v="42.672637589621026"/>
    <x v="1034"/>
    <n v="9.4411422048707561E-2"/>
    <n v="4.0287843974052535"/>
    <n v="38.643853192215772"/>
    <x v="1"/>
    <n v="2929"/>
  </r>
  <r>
    <x v="1035"/>
    <n v="67521.037490000002"/>
    <n v="61233.718869999997"/>
    <x v="973"/>
    <n v="42.680807515802783"/>
    <x v="1035"/>
    <n v="9.3116439760440137E-2"/>
    <n v="3.9742848419721923"/>
    <n v="38.706522673830591"/>
    <x v="1"/>
    <n v="1582"/>
  </r>
  <r>
    <x v="1036"/>
    <n v="70020.596009999994"/>
    <n v="62316.151339999997"/>
    <x v="974"/>
    <n v="42.721535088468578"/>
    <x v="1036"/>
    <n v="0.11003112097045969"/>
    <n v="4.7006983953630268"/>
    <n v="38.020836693105551"/>
    <x v="1"/>
    <n v="1639"/>
  </r>
  <r>
    <x v="1037"/>
    <n v="126954.17019999999"/>
    <n v="110698.7429"/>
    <x v="975"/>
    <n v="42.731124267923256"/>
    <x v="1037"/>
    <n v="0.12804169626245171"/>
    <n v="5.4713656344665083"/>
    <n v="37.259758633456748"/>
    <x v="1"/>
    <n v="2971"/>
  </r>
  <r>
    <x v="1038"/>
    <n v="97558.247050000005"/>
    <n v="86203.875199999995"/>
    <x v="976"/>
    <n v="42.713768410683016"/>
    <x v="1038"/>
    <n v="0.11638556650347286"/>
    <n v="4.9712661339754902"/>
    <n v="37.742502276707526"/>
    <x v="1"/>
    <n v="2284"/>
  </r>
  <r>
    <x v="1039"/>
    <n v="97039.009869999994"/>
    <n v="89413.415970000002"/>
    <x v="884"/>
    <n v="42.823923155339806"/>
    <x v="1039"/>
    <n v="7.8582766973980395E-2"/>
    <n v="3.365222374227713"/>
    <n v="39.458700781112093"/>
    <x v="1"/>
    <n v="2266"/>
  </r>
  <r>
    <x v="1040"/>
    <n v="168349.2653"/>
    <n v="156675.5901"/>
    <x v="977"/>
    <n v="42.749940401218893"/>
    <x v="1040"/>
    <n v="6.9342002646684539E-2"/>
    <n v="2.9643664804469267"/>
    <n v="39.785573920771967"/>
    <x v="1"/>
    <n v="3938"/>
  </r>
  <r>
    <x v="1041"/>
    <n v="202017.42199999999"/>
    <n v="189394.6937"/>
    <x v="978"/>
    <n v="42.800301271186441"/>
    <x v="1041"/>
    <n v="6.2483364924833008E-2"/>
    <n v="2.6743068432203358"/>
    <n v="40.125994427966106"/>
    <x v="1"/>
    <n v="4720"/>
  </r>
  <r>
    <x v="1042"/>
    <n v="108459.0001"/>
    <n v="102250.1678"/>
    <x v="979"/>
    <n v="42.750886913677576"/>
    <x v="1042"/>
    <n v="5.7245892865280146E-2"/>
    <n v="2.4473126921560961"/>
    <n v="40.30357422152148"/>
    <x v="1"/>
    <n v="2537"/>
  </r>
  <r>
    <x v="1043"/>
    <n v="112536.3771"/>
    <n v="105978.4825"/>
    <x v="980"/>
    <n v="42.936427737504765"/>
    <x v="1043"/>
    <n v="5.8273553574349067E-2"/>
    <n v="2.5020582220526464"/>
    <n v="40.434369515452119"/>
    <x v="1"/>
    <n v="2621"/>
  </r>
  <r>
    <x v="1044"/>
    <n v="100479.93"/>
    <n v="94692.479290000003"/>
    <x v="981"/>
    <n v="42.921798376762062"/>
    <x v="1044"/>
    <n v="5.7598076650730058E-2"/>
    <n v="2.4722130328919221"/>
    <n v="40.44958534387014"/>
    <x v="1"/>
    <n v="2341"/>
  </r>
  <r>
    <x v="1045"/>
    <n v="81649.688670000003"/>
    <n v="77081.660569999993"/>
    <x v="982"/>
    <n v="42.950914608101002"/>
    <x v="1045"/>
    <n v="5.5946668926839527E-2"/>
    <n v="2.4029605996843841"/>
    <n v="40.547954008416617"/>
    <x v="1"/>
    <n v="1901"/>
  </r>
  <r>
    <x v="1046"/>
    <n v="71529.162639999995"/>
    <n v="67551.250969999994"/>
    <x v="983"/>
    <n v="42.934671452581028"/>
    <x v="1046"/>
    <n v="5.5612445654096107E-2"/>
    <n v="2.3877020828331297"/>
    <n v="40.546969369747899"/>
    <x v="1"/>
    <n v="1666"/>
  </r>
  <r>
    <x v="1047"/>
    <n v="160938.60159999999"/>
    <n v="152555.4173"/>
    <x v="984"/>
    <n v="42.939861686232653"/>
    <x v="1047"/>
    <n v="5.2089332308452183E-2"/>
    <n v="2.2367087246531412"/>
    <n v="40.703152961579512"/>
    <x v="1"/>
    <n v="3748"/>
  </r>
  <r>
    <x v="1048"/>
    <n v="164998.84460000001"/>
    <n v="156263.1495"/>
    <x v="985"/>
    <n v="42.934906219099666"/>
    <x v="1048"/>
    <n v="5.2943977402857591E-2"/>
    <n v="2.2731447046578239"/>
    <n v="40.661761514441842"/>
    <x v="1"/>
    <n v="3843"/>
  </r>
  <r>
    <x v="1049"/>
    <n v="97946.783049999998"/>
    <n v="93112.608909999995"/>
    <x v="986"/>
    <n v="42.94028191582639"/>
    <x v="1049"/>
    <n v="4.9355108860821367E-2"/>
    <n v="2.1193222884699665"/>
    <n v="40.820959627356423"/>
    <x v="1"/>
    <n v="2281"/>
  </r>
  <r>
    <x v="1050"/>
    <n v="87834.253679999994"/>
    <n v="83068.269029999996"/>
    <x v="525"/>
    <n v="42.929742756598237"/>
    <x v="1050"/>
    <n v="5.4261116253842792E-2"/>
    <n v="2.3294157624633414"/>
    <n v="40.600326994134896"/>
    <x v="1"/>
    <n v="2046"/>
  </r>
  <r>
    <x v="1051"/>
    <n v="95509.134980000003"/>
    <n v="88104.204530000003"/>
    <x v="987"/>
    <n v="43.791441989912883"/>
    <x v="1051"/>
    <n v="7.7531122562785451E-2"/>
    <n v="3.3951996561210436"/>
    <n v="40.396242333791839"/>
    <x v="1"/>
    <n v="2181"/>
  </r>
  <r>
    <x v="1052"/>
    <n v="77229.971890000001"/>
    <n v="71428.87"/>
    <x v="988"/>
    <n v="43.805996534316506"/>
    <x v="1052"/>
    <n v="7.5114644587241541E-2"/>
    <n v="3.290471860465118"/>
    <n v="40.515524673851388"/>
    <x v="1"/>
    <n v="1763"/>
  </r>
  <r>
    <x v="1053"/>
    <m/>
    <m/>
    <x v="989"/>
    <m/>
    <x v="1053"/>
    <m/>
    <m/>
    <m/>
    <x v="2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  <r>
    <x v="1053"/>
    <m/>
    <m/>
    <x v="989"/>
    <m/>
    <x v="1053"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2BB68-AC95-4A1F-B3EF-6D3ADE7355C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53AFE-EB8E-4B2B-9E05-25CAB6321C9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E0C0B-ABF8-4490-AABD-C41A552B283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4AB4B-7515-4B60-A3E1-5B91BA3616E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A39B-4BFB-479F-B667-B4071912D9B9}">
  <dimension ref="G9"/>
  <sheetViews>
    <sheetView zoomScale="79" zoomScaleNormal="79" workbookViewId="0">
      <selection activeCell="J12" sqref="J12"/>
    </sheetView>
  </sheetViews>
  <sheetFormatPr defaultRowHeight="14.4" x14ac:dyDescent="0.3"/>
  <cols>
    <col min="1" max="2" width="12.44140625" bestFit="1" customWidth="1"/>
    <col min="3" max="3" width="18.109375" bestFit="1" customWidth="1"/>
    <col min="4" max="4" width="12.44140625" bestFit="1" customWidth="1"/>
    <col min="5" max="5" width="15.21875" bestFit="1" customWidth="1"/>
    <col min="6" max="6" width="23.77734375" bestFit="1" customWidth="1"/>
    <col min="7" max="16" width="12" bestFit="1" customWidth="1"/>
    <col min="17" max="17" width="11" bestFit="1" customWidth="1"/>
    <col min="18" max="18" width="12" bestFit="1" customWidth="1"/>
    <col min="19" max="19" width="11" bestFit="1" customWidth="1"/>
    <col min="20" max="30" width="12" bestFit="1" customWidth="1"/>
    <col min="31" max="31" width="11" bestFit="1" customWidth="1"/>
    <col min="32" max="44" width="12" bestFit="1" customWidth="1"/>
    <col min="45" max="45" width="11" bestFit="1" customWidth="1"/>
    <col min="46" max="51" width="12" bestFit="1" customWidth="1"/>
    <col min="52" max="52" width="11" bestFit="1" customWidth="1"/>
    <col min="53" max="76" width="12" bestFit="1" customWidth="1"/>
    <col min="77" max="77" width="11" bestFit="1" customWidth="1"/>
    <col min="78" max="89" width="12" bestFit="1" customWidth="1"/>
    <col min="90" max="90" width="11" bestFit="1" customWidth="1"/>
    <col min="91" max="91" width="12" bestFit="1" customWidth="1"/>
    <col min="92" max="92" width="11" bestFit="1" customWidth="1"/>
    <col min="93" max="98" width="12" bestFit="1" customWidth="1"/>
    <col min="99" max="100" width="11" bestFit="1" customWidth="1"/>
    <col min="101" max="101" width="12" bestFit="1" customWidth="1"/>
    <col min="102" max="102" width="11" bestFit="1" customWidth="1"/>
    <col min="103" max="105" width="12" bestFit="1" customWidth="1"/>
    <col min="106" max="106" width="11" bestFit="1" customWidth="1"/>
    <col min="107" max="115" width="12" bestFit="1" customWidth="1"/>
    <col min="116" max="116" width="10.33203125" bestFit="1" customWidth="1"/>
    <col min="117" max="119" width="12" bestFit="1" customWidth="1"/>
    <col min="120" max="120" width="10" bestFit="1" customWidth="1"/>
    <col min="121" max="123" width="12" bestFit="1" customWidth="1"/>
    <col min="124" max="124" width="11" bestFit="1" customWidth="1"/>
    <col min="125" max="133" width="12" bestFit="1" customWidth="1"/>
    <col min="134" max="134" width="11" bestFit="1" customWidth="1"/>
    <col min="135" max="140" width="12" bestFit="1" customWidth="1"/>
    <col min="141" max="141" width="11" bestFit="1" customWidth="1"/>
    <col min="142" max="149" width="12" bestFit="1" customWidth="1"/>
    <col min="150" max="151" width="11" bestFit="1" customWidth="1"/>
    <col min="152" max="157" width="12" bestFit="1" customWidth="1"/>
    <col min="158" max="158" width="11" bestFit="1" customWidth="1"/>
    <col min="159" max="161" width="12" bestFit="1" customWidth="1"/>
    <col min="162" max="162" width="11" bestFit="1" customWidth="1"/>
    <col min="163" max="164" width="12" bestFit="1" customWidth="1"/>
    <col min="165" max="165" width="11" bestFit="1" customWidth="1"/>
    <col min="166" max="167" width="12" bestFit="1" customWidth="1"/>
    <col min="168" max="168" width="11" bestFit="1" customWidth="1"/>
    <col min="169" max="169" width="12" bestFit="1" customWidth="1"/>
    <col min="170" max="170" width="11" bestFit="1" customWidth="1"/>
    <col min="171" max="178" width="12" bestFit="1" customWidth="1"/>
    <col min="179" max="179" width="11" bestFit="1" customWidth="1"/>
    <col min="180" max="194" width="12" bestFit="1" customWidth="1"/>
    <col min="195" max="195" width="11" bestFit="1" customWidth="1"/>
    <col min="196" max="265" width="12" bestFit="1" customWidth="1"/>
    <col min="266" max="266" width="11" bestFit="1" customWidth="1"/>
    <col min="267" max="288" width="12" bestFit="1" customWidth="1"/>
    <col min="289" max="289" width="11" bestFit="1" customWidth="1"/>
    <col min="290" max="292" width="12" bestFit="1" customWidth="1"/>
    <col min="293" max="293" width="11" bestFit="1" customWidth="1"/>
    <col min="294" max="304" width="12" bestFit="1" customWidth="1"/>
    <col min="305" max="305" width="11" bestFit="1" customWidth="1"/>
    <col min="306" max="311" width="12" bestFit="1" customWidth="1"/>
    <col min="312" max="312" width="11" bestFit="1" customWidth="1"/>
    <col min="313" max="325" width="12" bestFit="1" customWidth="1"/>
    <col min="326" max="326" width="11" bestFit="1" customWidth="1"/>
    <col min="327" max="327" width="12" bestFit="1" customWidth="1"/>
    <col min="328" max="328" width="11" bestFit="1" customWidth="1"/>
    <col min="329" max="334" width="12" bestFit="1" customWidth="1"/>
    <col min="335" max="335" width="11" bestFit="1" customWidth="1"/>
    <col min="336" max="347" width="12" bestFit="1" customWidth="1"/>
    <col min="348" max="349" width="11" bestFit="1" customWidth="1"/>
    <col min="350" max="350" width="12" bestFit="1" customWidth="1"/>
    <col min="351" max="351" width="11" bestFit="1" customWidth="1"/>
    <col min="352" max="360" width="12" bestFit="1" customWidth="1"/>
    <col min="361" max="361" width="11" bestFit="1" customWidth="1"/>
    <col min="362" max="377" width="12" bestFit="1" customWidth="1"/>
    <col min="378" max="378" width="11" bestFit="1" customWidth="1"/>
    <col min="379" max="382" width="12" bestFit="1" customWidth="1"/>
    <col min="383" max="383" width="11" bestFit="1" customWidth="1"/>
    <col min="384" max="387" width="12" bestFit="1" customWidth="1"/>
    <col min="388" max="388" width="11" bestFit="1" customWidth="1"/>
    <col min="389" max="397" width="12" bestFit="1" customWidth="1"/>
    <col min="398" max="398" width="11" bestFit="1" customWidth="1"/>
    <col min="399" max="415" width="12" bestFit="1" customWidth="1"/>
    <col min="416" max="416" width="11" bestFit="1" customWidth="1"/>
    <col min="417" max="418" width="12" bestFit="1" customWidth="1"/>
    <col min="419" max="419" width="11" bestFit="1" customWidth="1"/>
    <col min="420" max="433" width="12" bestFit="1" customWidth="1"/>
    <col min="434" max="434" width="11" bestFit="1" customWidth="1"/>
    <col min="435" max="438" width="12" bestFit="1" customWidth="1"/>
    <col min="439" max="439" width="11" bestFit="1" customWidth="1"/>
    <col min="440" max="457" width="12" bestFit="1" customWidth="1"/>
    <col min="458" max="458" width="11" bestFit="1" customWidth="1"/>
    <col min="459" max="466" width="12" bestFit="1" customWidth="1"/>
    <col min="467" max="467" width="11" bestFit="1" customWidth="1"/>
    <col min="468" max="470" width="12" bestFit="1" customWidth="1"/>
    <col min="471" max="471" width="11" bestFit="1" customWidth="1"/>
    <col min="472" max="492" width="12" bestFit="1" customWidth="1"/>
    <col min="493" max="493" width="11" bestFit="1" customWidth="1"/>
    <col min="494" max="495" width="12" bestFit="1" customWidth="1"/>
    <col min="496" max="496" width="11" bestFit="1" customWidth="1"/>
    <col min="497" max="498" width="12" bestFit="1" customWidth="1"/>
    <col min="499" max="499" width="11" bestFit="1" customWidth="1"/>
    <col min="500" max="500" width="12" bestFit="1" customWidth="1"/>
    <col min="501" max="501" width="11" bestFit="1" customWidth="1"/>
    <col min="502" max="508" width="12" bestFit="1" customWidth="1"/>
    <col min="509" max="509" width="11" bestFit="1" customWidth="1"/>
    <col min="510" max="514" width="12" bestFit="1" customWidth="1"/>
    <col min="515" max="515" width="11" bestFit="1" customWidth="1"/>
    <col min="516" max="524" width="12" bestFit="1" customWidth="1"/>
    <col min="525" max="525" width="11" bestFit="1" customWidth="1"/>
    <col min="526" max="526" width="12" bestFit="1" customWidth="1"/>
    <col min="527" max="527" width="11" bestFit="1" customWidth="1"/>
    <col min="528" max="536" width="12" bestFit="1" customWidth="1"/>
    <col min="537" max="537" width="11" bestFit="1" customWidth="1"/>
    <col min="538" max="541" width="12" bestFit="1" customWidth="1"/>
    <col min="542" max="542" width="11" bestFit="1" customWidth="1"/>
    <col min="543" max="549" width="12" bestFit="1" customWidth="1"/>
    <col min="550" max="550" width="11" bestFit="1" customWidth="1"/>
    <col min="551" max="551" width="10" bestFit="1" customWidth="1"/>
    <col min="552" max="555" width="12" bestFit="1" customWidth="1"/>
    <col min="556" max="556" width="11" bestFit="1" customWidth="1"/>
    <col min="557" max="557" width="12" bestFit="1" customWidth="1"/>
    <col min="558" max="558" width="11" bestFit="1" customWidth="1"/>
    <col min="559" max="568" width="12" bestFit="1" customWidth="1"/>
    <col min="569" max="569" width="11" bestFit="1" customWidth="1"/>
    <col min="570" max="584" width="12" bestFit="1" customWidth="1"/>
    <col min="585" max="585" width="11" bestFit="1" customWidth="1"/>
    <col min="586" max="588" width="12" bestFit="1" customWidth="1"/>
    <col min="589" max="589" width="11" bestFit="1" customWidth="1"/>
    <col min="590" max="590" width="12" bestFit="1" customWidth="1"/>
    <col min="591" max="591" width="11" bestFit="1" customWidth="1"/>
    <col min="592" max="606" width="12" bestFit="1" customWidth="1"/>
    <col min="607" max="607" width="11" bestFit="1" customWidth="1"/>
    <col min="608" max="608" width="12" bestFit="1" customWidth="1"/>
    <col min="609" max="609" width="11" bestFit="1" customWidth="1"/>
    <col min="610" max="637" width="12" bestFit="1" customWidth="1"/>
    <col min="638" max="638" width="11" bestFit="1" customWidth="1"/>
    <col min="639" max="653" width="12" bestFit="1" customWidth="1"/>
    <col min="654" max="654" width="11" bestFit="1" customWidth="1"/>
    <col min="655" max="661" width="12" bestFit="1" customWidth="1"/>
    <col min="662" max="662" width="11" bestFit="1" customWidth="1"/>
    <col min="663" max="669" width="12" bestFit="1" customWidth="1"/>
    <col min="670" max="670" width="11" bestFit="1" customWidth="1"/>
    <col min="671" max="674" width="12" bestFit="1" customWidth="1"/>
    <col min="675" max="675" width="9" bestFit="1" customWidth="1"/>
    <col min="676" max="683" width="12" bestFit="1" customWidth="1"/>
    <col min="684" max="684" width="11" bestFit="1" customWidth="1"/>
    <col min="685" max="692" width="12" bestFit="1" customWidth="1"/>
    <col min="693" max="693" width="11" bestFit="1" customWidth="1"/>
    <col min="694" max="696" width="12" bestFit="1" customWidth="1"/>
    <col min="697" max="698" width="10" bestFit="1" customWidth="1"/>
    <col min="699" max="725" width="12" bestFit="1" customWidth="1"/>
    <col min="726" max="726" width="9" bestFit="1" customWidth="1"/>
    <col min="727" max="729" width="12" bestFit="1" customWidth="1"/>
    <col min="730" max="730" width="11" bestFit="1" customWidth="1"/>
    <col min="731" max="733" width="12" bestFit="1" customWidth="1"/>
    <col min="734" max="734" width="11" bestFit="1" customWidth="1"/>
    <col min="735" max="748" width="12" bestFit="1" customWidth="1"/>
    <col min="749" max="749" width="11" bestFit="1" customWidth="1"/>
    <col min="750" max="755" width="12" bestFit="1" customWidth="1"/>
    <col min="756" max="756" width="10" bestFit="1" customWidth="1"/>
    <col min="757" max="758" width="12" bestFit="1" customWidth="1"/>
    <col min="759" max="759" width="11" bestFit="1" customWidth="1"/>
    <col min="760" max="760" width="12" bestFit="1" customWidth="1"/>
    <col min="761" max="761" width="11" bestFit="1" customWidth="1"/>
    <col min="762" max="769" width="12" bestFit="1" customWidth="1"/>
    <col min="770" max="771" width="11" bestFit="1" customWidth="1"/>
    <col min="772" max="772" width="12" bestFit="1" customWidth="1"/>
    <col min="773" max="773" width="11" bestFit="1" customWidth="1"/>
    <col min="774" max="780" width="12" bestFit="1" customWidth="1"/>
    <col min="781" max="781" width="11" bestFit="1" customWidth="1"/>
    <col min="782" max="795" width="12" bestFit="1" customWidth="1"/>
    <col min="796" max="796" width="11" bestFit="1" customWidth="1"/>
    <col min="797" max="798" width="12" bestFit="1" customWidth="1"/>
    <col min="799" max="799" width="11" bestFit="1" customWidth="1"/>
    <col min="800" max="811" width="12" bestFit="1" customWidth="1"/>
    <col min="812" max="812" width="11" bestFit="1" customWidth="1"/>
    <col min="813" max="815" width="12" bestFit="1" customWidth="1"/>
    <col min="816" max="816" width="11" bestFit="1" customWidth="1"/>
    <col min="817" max="838" width="12" bestFit="1" customWidth="1"/>
    <col min="839" max="839" width="11" bestFit="1" customWidth="1"/>
    <col min="840" max="845" width="12" bestFit="1" customWidth="1"/>
    <col min="846" max="846" width="11" bestFit="1" customWidth="1"/>
    <col min="847" max="851" width="12" bestFit="1" customWidth="1"/>
    <col min="852" max="852" width="11" bestFit="1" customWidth="1"/>
    <col min="853" max="863" width="12" bestFit="1" customWidth="1"/>
    <col min="864" max="865" width="11" bestFit="1" customWidth="1"/>
    <col min="866" max="870" width="12" bestFit="1" customWidth="1"/>
    <col min="871" max="871" width="11" bestFit="1" customWidth="1"/>
    <col min="872" max="888" width="12" bestFit="1" customWidth="1"/>
    <col min="889" max="889" width="11" bestFit="1" customWidth="1"/>
    <col min="890" max="899" width="12" bestFit="1" customWidth="1"/>
    <col min="900" max="900" width="11" bestFit="1" customWidth="1"/>
    <col min="901" max="904" width="12" bestFit="1" customWidth="1"/>
    <col min="905" max="905" width="11" bestFit="1" customWidth="1"/>
    <col min="906" max="925" width="12" bestFit="1" customWidth="1"/>
    <col min="926" max="926" width="11" bestFit="1" customWidth="1"/>
    <col min="927" max="927" width="10" bestFit="1" customWidth="1"/>
    <col min="928" max="941" width="12" bestFit="1" customWidth="1"/>
    <col min="942" max="942" width="10" bestFit="1" customWidth="1"/>
    <col min="943" max="944" width="12" bestFit="1" customWidth="1"/>
    <col min="945" max="945" width="11" bestFit="1" customWidth="1"/>
    <col min="946" max="951" width="12" bestFit="1" customWidth="1"/>
    <col min="952" max="952" width="11" bestFit="1" customWidth="1"/>
    <col min="953" max="962" width="12" bestFit="1" customWidth="1"/>
    <col min="963" max="963" width="11" bestFit="1" customWidth="1"/>
    <col min="964" max="969" width="12" bestFit="1" customWidth="1"/>
    <col min="970" max="970" width="11" bestFit="1" customWidth="1"/>
    <col min="971" max="978" width="12" bestFit="1" customWidth="1"/>
    <col min="979" max="979" width="9" bestFit="1" customWidth="1"/>
    <col min="980" max="980" width="11" bestFit="1" customWidth="1"/>
    <col min="981" max="984" width="12" bestFit="1" customWidth="1"/>
    <col min="985" max="985" width="11" bestFit="1" customWidth="1"/>
    <col min="986" max="994" width="12" bestFit="1" customWidth="1"/>
    <col min="995" max="996" width="11" bestFit="1" customWidth="1"/>
    <col min="997" max="1019" width="12" bestFit="1" customWidth="1"/>
    <col min="1020" max="1021" width="11" bestFit="1" customWidth="1"/>
    <col min="1022" max="1023" width="12" bestFit="1" customWidth="1"/>
    <col min="1024" max="1024" width="11" bestFit="1" customWidth="1"/>
    <col min="1025" max="1031" width="12" bestFit="1" customWidth="1"/>
    <col min="1032" max="1032" width="11" bestFit="1" customWidth="1"/>
    <col min="1033" max="1044" width="12" bestFit="1" customWidth="1"/>
    <col min="1045" max="1045" width="11" bestFit="1" customWidth="1"/>
    <col min="1046" max="1046" width="12" bestFit="1" customWidth="1"/>
    <col min="1047" max="1047" width="11" bestFit="1" customWidth="1"/>
    <col min="1048" max="1055" width="12" bestFit="1" customWidth="1"/>
    <col min="1056" max="1056" width="7" bestFit="1" customWidth="1"/>
    <col min="1057" max="1057" width="12" bestFit="1" customWidth="1"/>
  </cols>
  <sheetData>
    <row r="9" spans="7:7" x14ac:dyDescent="0.3">
      <c r="G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D28A-BBF7-48F1-B273-3FD9D382C945}">
  <dimension ref="A3:C20"/>
  <sheetViews>
    <sheetView workbookViewId="0">
      <selection activeCell="B11" sqref="B11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2AF6-E69A-4B1E-B791-3956261448C4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F80-AFA6-4A42-953A-AA90C9A272D1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95FD-286C-4224-87AD-F8970AAC06DC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CBA1-D127-4903-A309-712159F35981}">
  <dimension ref="A1:K1055"/>
  <sheetViews>
    <sheetView tabSelected="1" workbookViewId="0">
      <selection activeCell="M9" sqref="M9"/>
    </sheetView>
  </sheetViews>
  <sheetFormatPr defaultRowHeight="14.4" x14ac:dyDescent="0.3"/>
  <cols>
    <col min="1" max="1" width="11.6640625" customWidth="1"/>
    <col min="2" max="2" width="14.33203125" customWidth="1"/>
    <col min="3" max="3" width="12.109375" customWidth="1"/>
    <col min="4" max="4" width="12.6640625" customWidth="1"/>
    <col min="5" max="5" width="11.109375" customWidth="1"/>
    <col min="6" max="6" width="14.21875" customWidth="1"/>
    <col min="7" max="7" width="16.88671875" customWidth="1"/>
    <col min="8" max="8" width="15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637</v>
      </c>
      <c r="F1" t="s">
        <v>638</v>
      </c>
      <c r="G1" t="s">
        <v>639</v>
      </c>
      <c r="H1" t="s">
        <v>643</v>
      </c>
      <c r="I1" t="s">
        <v>642</v>
      </c>
      <c r="J1" t="s">
        <v>640</v>
      </c>
      <c r="K1" t="s">
        <v>641</v>
      </c>
    </row>
    <row r="2" spans="1:11" x14ac:dyDescent="0.3">
      <c r="A2" t="s">
        <v>4</v>
      </c>
      <c r="B2">
        <v>223937.96789999999</v>
      </c>
      <c r="C2">
        <v>230079.62100000001</v>
      </c>
      <c r="D2">
        <v>6827</v>
      </c>
      <c r="E2">
        <f>B2/D2</f>
        <v>32.801811615643764</v>
      </c>
      <c r="F2">
        <f>B2-C2</f>
        <v>-6141.653100000025</v>
      </c>
      <c r="G2">
        <f>F2/B2</f>
        <v>-2.7425689165593369E-2</v>
      </c>
      <c r="H2">
        <f>E2-I2</f>
        <v>-0.8996122894389984</v>
      </c>
      <c r="I2">
        <f>C2/D2</f>
        <v>33.701423905082763</v>
      </c>
      <c r="J2" t="b">
        <f>H2&gt;0</f>
        <v>0</v>
      </c>
      <c r="K2">
        <f>D2</f>
        <v>6827</v>
      </c>
    </row>
    <row r="3" spans="1:11" x14ac:dyDescent="0.3">
      <c r="A3" t="s">
        <v>5</v>
      </c>
      <c r="B3">
        <v>300345.48460000003</v>
      </c>
      <c r="C3">
        <v>306986.12050000002</v>
      </c>
      <c r="D3">
        <v>9268</v>
      </c>
      <c r="E3">
        <f t="shared" ref="E3:E66" si="0">B3/D3</f>
        <v>32.40672039274925</v>
      </c>
      <c r="F3">
        <f t="shared" ref="F3:F66" si="1">B3-C3</f>
        <v>-6640.6358999999939</v>
      </c>
      <c r="G3">
        <f t="shared" ref="G3:H66" si="2">F3/B3</f>
        <v>-2.2109990795579928E-2</v>
      </c>
      <c r="H3">
        <f t="shared" ref="H3:H66" si="3">E3-I3</f>
        <v>-0.71651228959861868</v>
      </c>
      <c r="I3">
        <f t="shared" ref="I3:I66" si="4">C3/D3</f>
        <v>33.123232682347869</v>
      </c>
      <c r="J3" t="b">
        <f t="shared" ref="J3:J66" si="5">H3&gt;0</f>
        <v>0</v>
      </c>
      <c r="K3">
        <f t="shared" ref="K3:K66" si="6">D3</f>
        <v>9268</v>
      </c>
    </row>
    <row r="4" spans="1:11" x14ac:dyDescent="0.3">
      <c r="A4" s="1">
        <v>41640</v>
      </c>
      <c r="B4">
        <v>86782.467730000004</v>
      </c>
      <c r="C4">
        <v>87986.318209999998</v>
      </c>
      <c r="D4">
        <v>2678</v>
      </c>
      <c r="E4">
        <f t="shared" si="0"/>
        <v>32.405701168782677</v>
      </c>
      <c r="F4">
        <f t="shared" si="1"/>
        <v>-1203.8504799999937</v>
      </c>
      <c r="G4">
        <f t="shared" si="2"/>
        <v>-1.3872047102249343E-2</v>
      </c>
      <c r="H4">
        <f t="shared" si="3"/>
        <v>-0.4495334129947679</v>
      </c>
      <c r="I4">
        <f t="shared" si="4"/>
        <v>32.855234581777445</v>
      </c>
      <c r="J4" t="b">
        <f t="shared" si="5"/>
        <v>0</v>
      </c>
      <c r="K4">
        <f t="shared" si="6"/>
        <v>2678</v>
      </c>
    </row>
    <row r="5" spans="1:11" x14ac:dyDescent="0.3">
      <c r="A5" s="1">
        <v>41671</v>
      </c>
      <c r="B5">
        <v>200173.11679999999</v>
      </c>
      <c r="C5">
        <v>202881.1777</v>
      </c>
      <c r="D5">
        <v>6175</v>
      </c>
      <c r="E5">
        <f t="shared" si="0"/>
        <v>32.416699076923074</v>
      </c>
      <c r="F5">
        <f t="shared" si="1"/>
        <v>-2708.0609000000113</v>
      </c>
      <c r="G5">
        <f t="shared" si="2"/>
        <v>-1.3528594365175072E-2</v>
      </c>
      <c r="H5">
        <f t="shared" si="3"/>
        <v>-0.43855237246963696</v>
      </c>
      <c r="I5">
        <f t="shared" si="4"/>
        <v>32.855251449392711</v>
      </c>
      <c r="J5" t="b">
        <f t="shared" si="5"/>
        <v>0</v>
      </c>
      <c r="K5">
        <f t="shared" si="6"/>
        <v>6175</v>
      </c>
    </row>
    <row r="6" spans="1:11" x14ac:dyDescent="0.3">
      <c r="A6" s="1">
        <v>41699</v>
      </c>
      <c r="B6">
        <v>326906.07419999997</v>
      </c>
      <c r="C6">
        <v>333806.29190000001</v>
      </c>
      <c r="D6">
        <v>10084</v>
      </c>
      <c r="E6">
        <f t="shared" si="0"/>
        <v>32.418293752479173</v>
      </c>
      <c r="F6">
        <f t="shared" si="1"/>
        <v>-6900.2177000000374</v>
      </c>
      <c r="G6">
        <f t="shared" si="2"/>
        <v>-2.1107646032231597E-2</v>
      </c>
      <c r="H6">
        <f t="shared" si="3"/>
        <v>-0.68427386949623781</v>
      </c>
      <c r="I6">
        <f t="shared" si="4"/>
        <v>33.10256762197541</v>
      </c>
      <c r="J6" t="b">
        <f t="shared" si="5"/>
        <v>0</v>
      </c>
      <c r="K6">
        <f t="shared" si="6"/>
        <v>10084</v>
      </c>
    </row>
    <row r="7" spans="1:11" x14ac:dyDescent="0.3">
      <c r="A7" s="1">
        <v>41730</v>
      </c>
      <c r="B7">
        <v>307043.93540000002</v>
      </c>
      <c r="C7">
        <v>313652.34830000001</v>
      </c>
      <c r="D7">
        <v>9470</v>
      </c>
      <c r="E7">
        <f t="shared" si="0"/>
        <v>32.422802048574447</v>
      </c>
      <c r="F7">
        <f t="shared" si="1"/>
        <v>-6608.4128999999957</v>
      </c>
      <c r="G7">
        <f t="shared" si="2"/>
        <v>-2.152269476155234E-2</v>
      </c>
      <c r="H7">
        <f t="shared" si="3"/>
        <v>-0.69782607180570011</v>
      </c>
      <c r="I7">
        <f t="shared" si="4"/>
        <v>33.120628120380147</v>
      </c>
      <c r="J7" t="b">
        <f t="shared" si="5"/>
        <v>0</v>
      </c>
      <c r="K7">
        <f t="shared" si="6"/>
        <v>9470</v>
      </c>
    </row>
    <row r="8" spans="1:11" x14ac:dyDescent="0.3">
      <c r="A8" s="1">
        <v>41760</v>
      </c>
      <c r="B8">
        <v>179188.88449999999</v>
      </c>
      <c r="C8">
        <v>183083.285</v>
      </c>
      <c r="D8">
        <v>5524</v>
      </c>
      <c r="E8">
        <f t="shared" si="0"/>
        <v>32.438248461259953</v>
      </c>
      <c r="F8">
        <f t="shared" si="1"/>
        <v>-3894.4005000000179</v>
      </c>
      <c r="G8">
        <f t="shared" si="2"/>
        <v>-2.1733493742464915E-2</v>
      </c>
      <c r="H8">
        <f t="shared" si="3"/>
        <v>-0.70499646994931453</v>
      </c>
      <c r="I8">
        <f t="shared" si="4"/>
        <v>33.143244931209267</v>
      </c>
      <c r="J8" t="b">
        <f t="shared" si="5"/>
        <v>0</v>
      </c>
      <c r="K8">
        <f t="shared" si="6"/>
        <v>5524</v>
      </c>
    </row>
    <row r="9" spans="1:11" x14ac:dyDescent="0.3">
      <c r="A9" s="1">
        <v>41791</v>
      </c>
      <c r="B9">
        <v>306351.9509</v>
      </c>
      <c r="C9">
        <v>313446.06809999997</v>
      </c>
      <c r="D9">
        <v>9448</v>
      </c>
      <c r="E9">
        <f t="shared" si="0"/>
        <v>32.42505830863675</v>
      </c>
      <c r="F9">
        <f t="shared" si="1"/>
        <v>-7094.1171999999788</v>
      </c>
      <c r="G9">
        <f t="shared" si="2"/>
        <v>-2.3156755421856787E-2</v>
      </c>
      <c r="H9">
        <f t="shared" si="3"/>
        <v>-0.75085914479254257</v>
      </c>
      <c r="I9">
        <f t="shared" si="4"/>
        <v>33.175917453429292</v>
      </c>
      <c r="J9" t="b">
        <f t="shared" si="5"/>
        <v>0</v>
      </c>
      <c r="K9">
        <f t="shared" si="6"/>
        <v>9448</v>
      </c>
    </row>
    <row r="10" spans="1:11" x14ac:dyDescent="0.3">
      <c r="A10" s="1">
        <v>41821</v>
      </c>
      <c r="B10">
        <v>224020.41</v>
      </c>
      <c r="C10">
        <v>229533.9737</v>
      </c>
      <c r="D10">
        <v>6911</v>
      </c>
      <c r="E10">
        <f t="shared" si="0"/>
        <v>32.415049920416728</v>
      </c>
      <c r="F10">
        <f t="shared" si="1"/>
        <v>-5513.5636999999988</v>
      </c>
      <c r="G10">
        <f t="shared" si="2"/>
        <v>-2.4611881122795904E-2</v>
      </c>
      <c r="H10">
        <f t="shared" si="3"/>
        <v>-0.79779535523078948</v>
      </c>
      <c r="I10">
        <f t="shared" si="4"/>
        <v>33.212845275647517</v>
      </c>
      <c r="J10" t="b">
        <f t="shared" si="5"/>
        <v>0</v>
      </c>
      <c r="K10">
        <f t="shared" si="6"/>
        <v>6911</v>
      </c>
    </row>
    <row r="11" spans="1:11" x14ac:dyDescent="0.3">
      <c r="A11" s="1">
        <v>41852</v>
      </c>
      <c r="B11">
        <v>101836.4022</v>
      </c>
      <c r="C11">
        <v>99381.967520000006</v>
      </c>
      <c r="D11">
        <v>2990</v>
      </c>
      <c r="E11">
        <f t="shared" si="0"/>
        <v>34.058997391304345</v>
      </c>
      <c r="F11">
        <f t="shared" si="1"/>
        <v>2454.4346799999912</v>
      </c>
      <c r="G11">
        <f t="shared" si="2"/>
        <v>2.4101741881843417E-2</v>
      </c>
      <c r="H11">
        <f t="shared" si="3"/>
        <v>0.82088116387959076</v>
      </c>
      <c r="I11">
        <f t="shared" si="4"/>
        <v>33.238116227424754</v>
      </c>
      <c r="J11" t="b">
        <f t="shared" si="5"/>
        <v>1</v>
      </c>
      <c r="K11">
        <f t="shared" si="6"/>
        <v>2990</v>
      </c>
    </row>
    <row r="12" spans="1:11" x14ac:dyDescent="0.3">
      <c r="A12" s="1">
        <v>41883</v>
      </c>
      <c r="B12">
        <v>107804.3049</v>
      </c>
      <c r="C12">
        <v>104816.45849999999</v>
      </c>
      <c r="D12">
        <v>3159</v>
      </c>
      <c r="E12">
        <f t="shared" si="0"/>
        <v>34.126085754985759</v>
      </c>
      <c r="F12">
        <f t="shared" si="1"/>
        <v>2987.8464000000095</v>
      </c>
      <c r="G12">
        <f t="shared" si="2"/>
        <v>2.7715464635401674E-2</v>
      </c>
      <c r="H12">
        <f t="shared" si="3"/>
        <v>0.9458203228869948</v>
      </c>
      <c r="I12">
        <f t="shared" si="4"/>
        <v>33.180265432098764</v>
      </c>
      <c r="J12" t="b">
        <f t="shared" si="5"/>
        <v>1</v>
      </c>
      <c r="K12">
        <f t="shared" si="6"/>
        <v>3159</v>
      </c>
    </row>
    <row r="13" spans="1:11" x14ac:dyDescent="0.3">
      <c r="A13" s="1">
        <v>41913</v>
      </c>
      <c r="B13">
        <v>144829.95670000001</v>
      </c>
      <c r="C13">
        <v>141333.9963</v>
      </c>
      <c r="D13">
        <v>4246</v>
      </c>
      <c r="E13">
        <f t="shared" si="0"/>
        <v>34.10974015544042</v>
      </c>
      <c r="F13">
        <f t="shared" si="1"/>
        <v>3495.9604000000108</v>
      </c>
      <c r="G13">
        <f t="shared" si="2"/>
        <v>2.4138379100958542E-2</v>
      </c>
      <c r="H13">
        <f t="shared" si="3"/>
        <v>0.82335383890720948</v>
      </c>
      <c r="I13">
        <f t="shared" si="4"/>
        <v>33.286386316533211</v>
      </c>
      <c r="J13" t="b">
        <f t="shared" si="5"/>
        <v>1</v>
      </c>
      <c r="K13">
        <f t="shared" si="6"/>
        <v>4246</v>
      </c>
    </row>
    <row r="14" spans="1:11" x14ac:dyDescent="0.3">
      <c r="A14" s="1">
        <v>41944</v>
      </c>
      <c r="B14">
        <v>146571.48240000001</v>
      </c>
      <c r="C14">
        <v>143179.67000000001</v>
      </c>
      <c r="D14">
        <v>4297</v>
      </c>
      <c r="E14">
        <f t="shared" si="0"/>
        <v>34.110189062136378</v>
      </c>
      <c r="F14">
        <f t="shared" si="1"/>
        <v>3391.8123999999953</v>
      </c>
      <c r="G14">
        <f t="shared" si="2"/>
        <v>2.3141011774334044E-2</v>
      </c>
      <c r="H14">
        <f t="shared" si="3"/>
        <v>0.78934428671166046</v>
      </c>
      <c r="I14">
        <f t="shared" si="4"/>
        <v>33.320844775424717</v>
      </c>
      <c r="J14" t="b">
        <f t="shared" si="5"/>
        <v>1</v>
      </c>
      <c r="K14">
        <f t="shared" si="6"/>
        <v>4297</v>
      </c>
    </row>
    <row r="15" spans="1:11" x14ac:dyDescent="0.3">
      <c r="A15" s="1">
        <v>41974</v>
      </c>
      <c r="B15">
        <v>95422.37298</v>
      </c>
      <c r="C15">
        <v>93126.147240000006</v>
      </c>
      <c r="D15">
        <v>2796</v>
      </c>
      <c r="E15">
        <f t="shared" si="0"/>
        <v>34.12817345493562</v>
      </c>
      <c r="F15">
        <f t="shared" si="1"/>
        <v>2296.2257399999944</v>
      </c>
      <c r="G15">
        <f t="shared" si="2"/>
        <v>2.4063808814325658E-2</v>
      </c>
      <c r="H15">
        <f t="shared" si="3"/>
        <v>0.82125384120170963</v>
      </c>
      <c r="I15">
        <f t="shared" si="4"/>
        <v>33.306919613733911</v>
      </c>
      <c r="J15" t="b">
        <f t="shared" si="5"/>
        <v>1</v>
      </c>
      <c r="K15">
        <f t="shared" si="6"/>
        <v>2796</v>
      </c>
    </row>
    <row r="16" spans="1:11" x14ac:dyDescent="0.3">
      <c r="A16" t="s">
        <v>6</v>
      </c>
      <c r="B16">
        <v>114883.1738</v>
      </c>
      <c r="C16">
        <v>112186.30869999999</v>
      </c>
      <c r="D16">
        <v>3369</v>
      </c>
      <c r="E16">
        <f t="shared" si="0"/>
        <v>34.100081270406648</v>
      </c>
      <c r="F16">
        <f t="shared" si="1"/>
        <v>2696.86510000001</v>
      </c>
      <c r="G16">
        <f t="shared" si="2"/>
        <v>2.3474848498658121E-2</v>
      </c>
      <c r="H16">
        <f t="shared" si="3"/>
        <v>0.8004942416147216</v>
      </c>
      <c r="I16">
        <f t="shared" si="4"/>
        <v>33.299587028791926</v>
      </c>
      <c r="J16" t="b">
        <f t="shared" si="5"/>
        <v>1</v>
      </c>
      <c r="K16">
        <f t="shared" si="6"/>
        <v>3369</v>
      </c>
    </row>
    <row r="17" spans="1:11" x14ac:dyDescent="0.3">
      <c r="A17" t="s">
        <v>7</v>
      </c>
      <c r="B17">
        <v>80090.800080000001</v>
      </c>
      <c r="C17">
        <v>78096.760179999997</v>
      </c>
      <c r="D17">
        <v>2348</v>
      </c>
      <c r="E17">
        <f t="shared" si="0"/>
        <v>34.11022149914821</v>
      </c>
      <c r="F17">
        <f t="shared" si="1"/>
        <v>1994.0399000000034</v>
      </c>
      <c r="G17">
        <f t="shared" si="2"/>
        <v>2.4897240357297269E-2</v>
      </c>
      <c r="H17">
        <f t="shared" si="3"/>
        <v>0.84925038330494118</v>
      </c>
      <c r="I17">
        <f t="shared" si="4"/>
        <v>33.260971115843269</v>
      </c>
      <c r="J17" t="b">
        <f t="shared" si="5"/>
        <v>1</v>
      </c>
      <c r="K17">
        <f t="shared" si="6"/>
        <v>2348</v>
      </c>
    </row>
    <row r="18" spans="1:11" x14ac:dyDescent="0.3">
      <c r="A18" t="s">
        <v>8</v>
      </c>
      <c r="B18">
        <v>98945.371159999995</v>
      </c>
      <c r="C18">
        <v>97159.002590000004</v>
      </c>
      <c r="D18">
        <v>2903</v>
      </c>
      <c r="E18">
        <f t="shared" si="0"/>
        <v>34.083834364450567</v>
      </c>
      <c r="F18">
        <f t="shared" si="1"/>
        <v>1786.3685699999915</v>
      </c>
      <c r="G18">
        <f t="shared" si="2"/>
        <v>1.8054089332904085E-2</v>
      </c>
      <c r="H18">
        <f t="shared" si="3"/>
        <v>0.61535259042369717</v>
      </c>
      <c r="I18">
        <f t="shared" si="4"/>
        <v>33.46848177402687</v>
      </c>
      <c r="J18" t="b">
        <f t="shared" si="5"/>
        <v>1</v>
      </c>
      <c r="K18">
        <f t="shared" si="6"/>
        <v>2903</v>
      </c>
    </row>
    <row r="19" spans="1:11" x14ac:dyDescent="0.3">
      <c r="A19" t="s">
        <v>9</v>
      </c>
      <c r="B19">
        <v>84904.901710000006</v>
      </c>
      <c r="C19">
        <v>83350.43316</v>
      </c>
      <c r="D19">
        <v>2491</v>
      </c>
      <c r="E19">
        <f t="shared" si="0"/>
        <v>34.084665479727022</v>
      </c>
      <c r="F19">
        <f t="shared" si="1"/>
        <v>1554.4685500000051</v>
      </c>
      <c r="G19">
        <f t="shared" si="2"/>
        <v>1.8308348737148605E-2</v>
      </c>
      <c r="H19">
        <f t="shared" si="3"/>
        <v>0.62403394219189323</v>
      </c>
      <c r="I19">
        <f t="shared" si="4"/>
        <v>33.460631537535129</v>
      </c>
      <c r="J19" t="b">
        <f t="shared" si="5"/>
        <v>1</v>
      </c>
      <c r="K19">
        <f t="shared" si="6"/>
        <v>2491</v>
      </c>
    </row>
    <row r="20" spans="1:11" x14ac:dyDescent="0.3">
      <c r="A20" t="s">
        <v>10</v>
      </c>
      <c r="B20">
        <v>135460.61970000001</v>
      </c>
      <c r="C20">
        <v>132703.33540000001</v>
      </c>
      <c r="D20">
        <v>3968</v>
      </c>
      <c r="E20">
        <f t="shared" si="0"/>
        <v>34.138261013104838</v>
      </c>
      <c r="F20">
        <f t="shared" si="1"/>
        <v>2757.2842999999993</v>
      </c>
      <c r="G20">
        <f t="shared" si="2"/>
        <v>2.0354877351856669E-2</v>
      </c>
      <c r="H20">
        <f t="shared" si="3"/>
        <v>0.69488011592741827</v>
      </c>
      <c r="I20">
        <f t="shared" si="4"/>
        <v>33.44338089717742</v>
      </c>
      <c r="J20" t="b">
        <f t="shared" si="5"/>
        <v>1</v>
      </c>
      <c r="K20">
        <f t="shared" si="6"/>
        <v>3968</v>
      </c>
    </row>
    <row r="21" spans="1:11" x14ac:dyDescent="0.3">
      <c r="A21" t="s">
        <v>11</v>
      </c>
      <c r="B21">
        <v>149925.74969999999</v>
      </c>
      <c r="C21">
        <v>146928.4118</v>
      </c>
      <c r="D21">
        <v>4393</v>
      </c>
      <c r="E21">
        <f t="shared" si="0"/>
        <v>34.128329091736852</v>
      </c>
      <c r="F21">
        <f t="shared" si="1"/>
        <v>2997.3378999999841</v>
      </c>
      <c r="G21">
        <f t="shared" si="2"/>
        <v>1.9992148820316916E-2</v>
      </c>
      <c r="H21">
        <f t="shared" si="3"/>
        <v>0.68229863419075798</v>
      </c>
      <c r="I21">
        <f t="shared" si="4"/>
        <v>33.446030457546094</v>
      </c>
      <c r="J21" t="b">
        <f t="shared" si="5"/>
        <v>1</v>
      </c>
      <c r="K21">
        <f t="shared" si="6"/>
        <v>4393</v>
      </c>
    </row>
    <row r="22" spans="1:11" x14ac:dyDescent="0.3">
      <c r="A22" t="s">
        <v>12</v>
      </c>
      <c r="B22">
        <v>74297.307180000003</v>
      </c>
      <c r="C22">
        <v>72782.284320000006</v>
      </c>
      <c r="D22">
        <v>2176</v>
      </c>
      <c r="E22">
        <f t="shared" si="0"/>
        <v>34.143983079044119</v>
      </c>
      <c r="F22">
        <f t="shared" si="1"/>
        <v>1515.0228599999973</v>
      </c>
      <c r="G22">
        <f t="shared" si="2"/>
        <v>2.0391356261803044E-2</v>
      </c>
      <c r="H22">
        <f t="shared" si="3"/>
        <v>0.69624212316176681</v>
      </c>
      <c r="I22">
        <f t="shared" si="4"/>
        <v>33.447740955882352</v>
      </c>
      <c r="J22" t="b">
        <f t="shared" si="5"/>
        <v>1</v>
      </c>
      <c r="K22">
        <f t="shared" si="6"/>
        <v>2176</v>
      </c>
    </row>
    <row r="23" spans="1:11" x14ac:dyDescent="0.3">
      <c r="A23" t="s">
        <v>13</v>
      </c>
      <c r="B23">
        <v>83356.424559999999</v>
      </c>
      <c r="C23">
        <v>81789.136119999996</v>
      </c>
      <c r="D23">
        <v>2443</v>
      </c>
      <c r="E23">
        <f t="shared" si="0"/>
        <v>34.12051762586983</v>
      </c>
      <c r="F23">
        <f t="shared" si="1"/>
        <v>1567.2884400000039</v>
      </c>
      <c r="G23">
        <f t="shared" si="2"/>
        <v>1.8802251275447508E-2</v>
      </c>
      <c r="H23">
        <f t="shared" si="3"/>
        <v>0.64154254604994065</v>
      </c>
      <c r="I23">
        <f t="shared" si="4"/>
        <v>33.47897507981989</v>
      </c>
      <c r="J23" t="b">
        <f t="shared" si="5"/>
        <v>1</v>
      </c>
      <c r="K23">
        <f t="shared" si="6"/>
        <v>2443</v>
      </c>
    </row>
    <row r="24" spans="1:11" x14ac:dyDescent="0.3">
      <c r="A24" t="s">
        <v>14</v>
      </c>
      <c r="B24">
        <v>89922.014290000006</v>
      </c>
      <c r="C24">
        <v>88388.916070000007</v>
      </c>
      <c r="D24">
        <v>2638</v>
      </c>
      <c r="E24">
        <f t="shared" si="0"/>
        <v>34.087192680060653</v>
      </c>
      <c r="F24">
        <f t="shared" si="1"/>
        <v>1533.0982199999999</v>
      </c>
      <c r="G24">
        <f t="shared" si="2"/>
        <v>1.7049197931173255E-2</v>
      </c>
      <c r="H24">
        <f t="shared" si="3"/>
        <v>0.58115929492038987</v>
      </c>
      <c r="I24">
        <f t="shared" si="4"/>
        <v>33.506033385140263</v>
      </c>
      <c r="J24" t="b">
        <f t="shared" si="5"/>
        <v>1</v>
      </c>
      <c r="K24">
        <f t="shared" si="6"/>
        <v>2638</v>
      </c>
    </row>
    <row r="25" spans="1:11" x14ac:dyDescent="0.3">
      <c r="A25" t="s">
        <v>15</v>
      </c>
      <c r="B25">
        <v>57806.302779999998</v>
      </c>
      <c r="C25">
        <v>57157.28254</v>
      </c>
      <c r="D25">
        <v>1704</v>
      </c>
      <c r="E25">
        <f t="shared" si="0"/>
        <v>33.923886607981217</v>
      </c>
      <c r="F25">
        <f t="shared" si="1"/>
        <v>649.02023999999801</v>
      </c>
      <c r="G25">
        <f t="shared" si="2"/>
        <v>1.1227499576820333E-2</v>
      </c>
      <c r="H25">
        <f t="shared" si="3"/>
        <v>0.38088042253520626</v>
      </c>
      <c r="I25">
        <f t="shared" si="4"/>
        <v>33.543006185446011</v>
      </c>
      <c r="J25" t="b">
        <f t="shared" si="5"/>
        <v>1</v>
      </c>
      <c r="K25">
        <f t="shared" si="6"/>
        <v>1704</v>
      </c>
    </row>
    <row r="26" spans="1:11" x14ac:dyDescent="0.3">
      <c r="A26" t="s">
        <v>16</v>
      </c>
      <c r="B26">
        <v>63977.750350000002</v>
      </c>
      <c r="C26">
        <v>62863.987240000002</v>
      </c>
      <c r="D26">
        <v>1872</v>
      </c>
      <c r="E26">
        <f t="shared" si="0"/>
        <v>34.17614869123932</v>
      </c>
      <c r="F26">
        <f t="shared" si="1"/>
        <v>1113.7631099999999</v>
      </c>
      <c r="G26">
        <f t="shared" si="2"/>
        <v>1.7408600707386389E-2</v>
      </c>
      <c r="H26">
        <f t="shared" si="3"/>
        <v>0.59495892628205382</v>
      </c>
      <c r="I26">
        <f t="shared" si="4"/>
        <v>33.581189764957266</v>
      </c>
      <c r="J26" t="b">
        <f t="shared" si="5"/>
        <v>1</v>
      </c>
      <c r="K26">
        <f t="shared" si="6"/>
        <v>1872</v>
      </c>
    </row>
    <row r="27" spans="1:11" x14ac:dyDescent="0.3">
      <c r="A27" t="s">
        <v>17</v>
      </c>
      <c r="B27">
        <v>116958.79979999999</v>
      </c>
      <c r="C27">
        <v>114823.79519999999</v>
      </c>
      <c r="D27">
        <v>3423</v>
      </c>
      <c r="E27">
        <f t="shared" si="0"/>
        <v>34.168507099035935</v>
      </c>
      <c r="F27">
        <f t="shared" si="1"/>
        <v>2135.0046000000002</v>
      </c>
      <c r="G27">
        <f t="shared" si="2"/>
        <v>1.8254330616002099E-2</v>
      </c>
      <c r="H27">
        <f t="shared" si="3"/>
        <v>0.62372322524102231</v>
      </c>
      <c r="I27">
        <f t="shared" si="4"/>
        <v>33.544783873794913</v>
      </c>
      <c r="J27" t="b">
        <f t="shared" si="5"/>
        <v>1</v>
      </c>
      <c r="K27">
        <f t="shared" si="6"/>
        <v>3423</v>
      </c>
    </row>
    <row r="28" spans="1:11" x14ac:dyDescent="0.3">
      <c r="A28" t="s">
        <v>18</v>
      </c>
      <c r="B28">
        <v>155272.8248</v>
      </c>
      <c r="C28">
        <v>152636.27660000001</v>
      </c>
      <c r="D28">
        <v>4544</v>
      </c>
      <c r="E28">
        <f t="shared" si="0"/>
        <v>34.17095616197183</v>
      </c>
      <c r="F28">
        <f t="shared" si="1"/>
        <v>2636.5481999999902</v>
      </c>
      <c r="G28">
        <f t="shared" si="2"/>
        <v>1.6980100693060812E-2</v>
      </c>
      <c r="H28">
        <f t="shared" si="3"/>
        <v>0.58022627640844604</v>
      </c>
      <c r="I28">
        <f t="shared" si="4"/>
        <v>33.590729885563384</v>
      </c>
      <c r="J28" t="b">
        <f t="shared" si="5"/>
        <v>1</v>
      </c>
      <c r="K28">
        <f t="shared" si="6"/>
        <v>4544</v>
      </c>
    </row>
    <row r="29" spans="1:11" x14ac:dyDescent="0.3">
      <c r="A29" t="s">
        <v>19</v>
      </c>
      <c r="B29">
        <v>82885.215909999999</v>
      </c>
      <c r="C29">
        <v>81583.166949999999</v>
      </c>
      <c r="D29">
        <v>2426</v>
      </c>
      <c r="E29">
        <f t="shared" si="0"/>
        <v>34.165381661170649</v>
      </c>
      <c r="F29">
        <f t="shared" si="1"/>
        <v>1302.0489600000001</v>
      </c>
      <c r="G29">
        <f t="shared" si="2"/>
        <v>1.5709061570326553E-2</v>
      </c>
      <c r="H29">
        <f t="shared" si="3"/>
        <v>0.5367060840890332</v>
      </c>
      <c r="I29">
        <f t="shared" si="4"/>
        <v>33.628675577081616</v>
      </c>
      <c r="J29" t="b">
        <f t="shared" si="5"/>
        <v>1</v>
      </c>
      <c r="K29">
        <f t="shared" si="6"/>
        <v>2426</v>
      </c>
    </row>
    <row r="30" spans="1:11" x14ac:dyDescent="0.3">
      <c r="A30" t="s">
        <v>20</v>
      </c>
      <c r="B30">
        <v>72353.425879999995</v>
      </c>
      <c r="C30">
        <v>71377.156459999998</v>
      </c>
      <c r="D30">
        <v>2117</v>
      </c>
      <c r="E30">
        <f t="shared" si="0"/>
        <v>34.177338630136987</v>
      </c>
      <c r="F30">
        <f t="shared" si="1"/>
        <v>976.2694199999969</v>
      </c>
      <c r="G30">
        <f t="shared" si="2"/>
        <v>1.3493064193244487E-2</v>
      </c>
      <c r="H30">
        <f t="shared" si="3"/>
        <v>0.4611570240906957</v>
      </c>
      <c r="I30">
        <f t="shared" si="4"/>
        <v>33.716181606046291</v>
      </c>
      <c r="J30" t="b">
        <f t="shared" si="5"/>
        <v>1</v>
      </c>
      <c r="K30">
        <f t="shared" si="6"/>
        <v>2117</v>
      </c>
    </row>
    <row r="31" spans="1:11" x14ac:dyDescent="0.3">
      <c r="A31" t="s">
        <v>21</v>
      </c>
      <c r="B31">
        <v>50415.903760000001</v>
      </c>
      <c r="C31">
        <v>49769.098239999999</v>
      </c>
      <c r="D31">
        <v>1476</v>
      </c>
      <c r="E31">
        <f t="shared" si="0"/>
        <v>34.157116368563685</v>
      </c>
      <c r="F31">
        <f t="shared" si="1"/>
        <v>646.80552000000171</v>
      </c>
      <c r="G31">
        <f t="shared" si="2"/>
        <v>1.2829394531516412E-2</v>
      </c>
      <c r="H31">
        <f t="shared" si="3"/>
        <v>0.4382151219512167</v>
      </c>
      <c r="I31">
        <f t="shared" si="4"/>
        <v>33.718901246612468</v>
      </c>
      <c r="J31" t="b">
        <f t="shared" si="5"/>
        <v>1</v>
      </c>
      <c r="K31">
        <f t="shared" si="6"/>
        <v>1476</v>
      </c>
    </row>
    <row r="32" spans="1:11" x14ac:dyDescent="0.3">
      <c r="A32" t="s">
        <v>22</v>
      </c>
      <c r="B32">
        <v>67458.301890000002</v>
      </c>
      <c r="C32">
        <v>66529.441999999995</v>
      </c>
      <c r="D32">
        <v>1974</v>
      </c>
      <c r="E32">
        <f t="shared" si="0"/>
        <v>34.173405212765957</v>
      </c>
      <c r="F32">
        <f t="shared" si="1"/>
        <v>928.859890000007</v>
      </c>
      <c r="G32">
        <f t="shared" si="2"/>
        <v>1.3769393298909898E-2</v>
      </c>
      <c r="H32">
        <f t="shared" si="3"/>
        <v>0.4705470567375869</v>
      </c>
      <c r="I32">
        <f t="shared" si="4"/>
        <v>33.70285815602837</v>
      </c>
      <c r="J32" t="b">
        <f t="shared" si="5"/>
        <v>1</v>
      </c>
      <c r="K32">
        <f t="shared" si="6"/>
        <v>1974</v>
      </c>
    </row>
    <row r="33" spans="1:11" x14ac:dyDescent="0.3">
      <c r="A33" t="s">
        <v>23</v>
      </c>
      <c r="B33">
        <v>64640.369310000002</v>
      </c>
      <c r="C33">
        <v>63757.839870000003</v>
      </c>
      <c r="D33">
        <v>1892</v>
      </c>
      <c r="E33">
        <f t="shared" si="0"/>
        <v>34.165100058139537</v>
      </c>
      <c r="F33">
        <f t="shared" si="1"/>
        <v>882.52943999999843</v>
      </c>
      <c r="G33">
        <f t="shared" si="2"/>
        <v>1.3652914570577325E-2</v>
      </c>
      <c r="H33">
        <f t="shared" si="3"/>
        <v>0.46645319238900385</v>
      </c>
      <c r="I33">
        <f t="shared" si="4"/>
        <v>33.698646865750533</v>
      </c>
      <c r="J33" t="b">
        <f t="shared" si="5"/>
        <v>1</v>
      </c>
      <c r="K33">
        <f t="shared" si="6"/>
        <v>1892</v>
      </c>
    </row>
    <row r="34" spans="1:11" x14ac:dyDescent="0.3">
      <c r="A34" t="s">
        <v>24</v>
      </c>
      <c r="B34">
        <v>137693.87349999999</v>
      </c>
      <c r="C34">
        <v>135609.50760000001</v>
      </c>
      <c r="D34">
        <v>4030</v>
      </c>
      <c r="E34">
        <f t="shared" si="0"/>
        <v>34.167214267990069</v>
      </c>
      <c r="F34">
        <f t="shared" si="1"/>
        <v>2084.3658999999752</v>
      </c>
      <c r="G34">
        <f t="shared" si="2"/>
        <v>1.5137680762535709E-2</v>
      </c>
      <c r="H34">
        <f t="shared" si="3"/>
        <v>0.51721238213398379</v>
      </c>
      <c r="I34">
        <f t="shared" si="4"/>
        <v>33.650001885856085</v>
      </c>
      <c r="J34" t="b">
        <f t="shared" si="5"/>
        <v>1</v>
      </c>
      <c r="K34">
        <f t="shared" si="6"/>
        <v>4030</v>
      </c>
    </row>
    <row r="35" spans="1:11" x14ac:dyDescent="0.3">
      <c r="A35" s="1">
        <v>41641</v>
      </c>
      <c r="B35">
        <v>181209.12849999999</v>
      </c>
      <c r="C35">
        <v>178435.71530000001</v>
      </c>
      <c r="D35">
        <v>5304</v>
      </c>
      <c r="E35">
        <f t="shared" si="0"/>
        <v>34.164616987179485</v>
      </c>
      <c r="F35">
        <f t="shared" si="1"/>
        <v>2773.4131999999809</v>
      </c>
      <c r="G35">
        <f t="shared" si="2"/>
        <v>1.5305041324118399E-2</v>
      </c>
      <c r="H35">
        <f t="shared" si="3"/>
        <v>0.52289087481145913</v>
      </c>
      <c r="I35">
        <f t="shared" si="4"/>
        <v>33.641726112368026</v>
      </c>
      <c r="J35" t="b">
        <f t="shared" si="5"/>
        <v>1</v>
      </c>
      <c r="K35">
        <f t="shared" si="6"/>
        <v>5304</v>
      </c>
    </row>
    <row r="36" spans="1:11" x14ac:dyDescent="0.3">
      <c r="A36" s="1">
        <v>41672</v>
      </c>
      <c r="B36">
        <v>113433.58100000001</v>
      </c>
      <c r="C36">
        <v>111466.5168</v>
      </c>
      <c r="D36">
        <v>3320</v>
      </c>
      <c r="E36">
        <f t="shared" si="0"/>
        <v>34.166741265060246</v>
      </c>
      <c r="F36">
        <f t="shared" si="1"/>
        <v>1967.064200000008</v>
      </c>
      <c r="G36">
        <f t="shared" si="2"/>
        <v>1.7341109948737384E-2</v>
      </c>
      <c r="H36">
        <f t="shared" si="3"/>
        <v>0.59248921686747735</v>
      </c>
      <c r="I36">
        <f t="shared" si="4"/>
        <v>33.574252048192768</v>
      </c>
      <c r="J36" t="b">
        <f t="shared" si="5"/>
        <v>1</v>
      </c>
      <c r="K36">
        <f t="shared" si="6"/>
        <v>3320</v>
      </c>
    </row>
    <row r="37" spans="1:11" x14ac:dyDescent="0.3">
      <c r="A37" s="1">
        <v>41700</v>
      </c>
      <c r="B37">
        <v>143192.53339999999</v>
      </c>
      <c r="C37">
        <v>140505.6347</v>
      </c>
      <c r="D37">
        <v>4191</v>
      </c>
      <c r="E37">
        <f t="shared" si="0"/>
        <v>34.166674636125023</v>
      </c>
      <c r="F37">
        <f t="shared" si="1"/>
        <v>2686.8986999999906</v>
      </c>
      <c r="G37">
        <f t="shared" si="2"/>
        <v>1.8764237465471022E-2</v>
      </c>
      <c r="H37">
        <f t="shared" si="3"/>
        <v>0.64111159627773162</v>
      </c>
      <c r="I37">
        <f t="shared" si="4"/>
        <v>33.525563039847292</v>
      </c>
      <c r="J37" t="b">
        <f t="shared" si="5"/>
        <v>1</v>
      </c>
      <c r="K37">
        <f t="shared" si="6"/>
        <v>4191</v>
      </c>
    </row>
    <row r="38" spans="1:11" x14ac:dyDescent="0.3">
      <c r="A38" s="1">
        <v>41731</v>
      </c>
      <c r="B38">
        <v>130126.6499</v>
      </c>
      <c r="C38">
        <v>128496.2877</v>
      </c>
      <c r="D38">
        <v>3809</v>
      </c>
      <c r="E38">
        <f t="shared" si="0"/>
        <v>34.16294300341297</v>
      </c>
      <c r="F38">
        <f t="shared" si="1"/>
        <v>1630.3622000000032</v>
      </c>
      <c r="G38">
        <f t="shared" si="2"/>
        <v>1.2529041524183611E-2</v>
      </c>
      <c r="H38">
        <f t="shared" si="3"/>
        <v>0.42802893147808163</v>
      </c>
      <c r="I38">
        <f t="shared" si="4"/>
        <v>33.734914071934888</v>
      </c>
      <c r="J38" t="b">
        <f t="shared" si="5"/>
        <v>1</v>
      </c>
      <c r="K38">
        <f t="shared" si="6"/>
        <v>3809</v>
      </c>
    </row>
    <row r="39" spans="1:11" x14ac:dyDescent="0.3">
      <c r="A39" s="1">
        <v>41761</v>
      </c>
      <c r="B39">
        <v>187155.86850000001</v>
      </c>
      <c r="C39">
        <v>195078.60329999999</v>
      </c>
      <c r="D39">
        <v>5764</v>
      </c>
      <c r="E39">
        <f t="shared" si="0"/>
        <v>32.469789816099933</v>
      </c>
      <c r="F39">
        <f t="shared" si="1"/>
        <v>-7922.7347999999765</v>
      </c>
      <c r="G39">
        <f t="shared" si="2"/>
        <v>-4.2332280913755987E-2</v>
      </c>
      <c r="H39">
        <f t="shared" si="3"/>
        <v>-1.3745202637057545</v>
      </c>
      <c r="I39">
        <f t="shared" si="4"/>
        <v>33.844310079805688</v>
      </c>
      <c r="J39" t="b">
        <f t="shared" si="5"/>
        <v>0</v>
      </c>
      <c r="K39">
        <f t="shared" si="6"/>
        <v>5764</v>
      </c>
    </row>
    <row r="40" spans="1:11" x14ac:dyDescent="0.3">
      <c r="A40" s="1">
        <v>41792</v>
      </c>
      <c r="B40">
        <v>102314.7096</v>
      </c>
      <c r="C40">
        <v>101977.99</v>
      </c>
      <c r="D40">
        <v>3028</v>
      </c>
      <c r="E40">
        <f t="shared" si="0"/>
        <v>33.789534214002643</v>
      </c>
      <c r="F40">
        <f t="shared" si="1"/>
        <v>336.71959999999672</v>
      </c>
      <c r="G40">
        <f t="shared" si="2"/>
        <v>3.2910184793213419E-3</v>
      </c>
      <c r="H40">
        <f t="shared" si="3"/>
        <v>0.11120198150594263</v>
      </c>
      <c r="I40">
        <f t="shared" si="4"/>
        <v>33.6783322324967</v>
      </c>
      <c r="J40" t="b">
        <f t="shared" si="5"/>
        <v>1</v>
      </c>
      <c r="K40">
        <f t="shared" si="6"/>
        <v>3028</v>
      </c>
    </row>
    <row r="41" spans="1:11" x14ac:dyDescent="0.3">
      <c r="A41" s="1">
        <v>41822</v>
      </c>
      <c r="B41">
        <v>301553.84259999997</v>
      </c>
      <c r="C41">
        <v>313529.18770000001</v>
      </c>
      <c r="D41">
        <v>9284</v>
      </c>
      <c r="E41">
        <f t="shared" si="0"/>
        <v>32.481025700129251</v>
      </c>
      <c r="F41">
        <f t="shared" si="1"/>
        <v>-11975.345100000035</v>
      </c>
      <c r="G41">
        <f t="shared" si="2"/>
        <v>-3.9712129007372282E-2</v>
      </c>
      <c r="H41">
        <f t="shared" si="3"/>
        <v>-1.2898906828953116</v>
      </c>
      <c r="I41">
        <f t="shared" si="4"/>
        <v>33.770916383024563</v>
      </c>
      <c r="J41" t="b">
        <f t="shared" si="5"/>
        <v>0</v>
      </c>
      <c r="K41">
        <f t="shared" si="6"/>
        <v>9284</v>
      </c>
    </row>
    <row r="42" spans="1:11" x14ac:dyDescent="0.3">
      <c r="A42" s="1">
        <v>41853</v>
      </c>
      <c r="B42">
        <v>316073.17749999999</v>
      </c>
      <c r="C42">
        <v>329754.7795</v>
      </c>
      <c r="D42">
        <v>9737</v>
      </c>
      <c r="E42">
        <f t="shared" si="0"/>
        <v>32.461043185786174</v>
      </c>
      <c r="F42">
        <f t="shared" si="1"/>
        <v>-13681.602000000014</v>
      </c>
      <c r="G42">
        <f t="shared" si="2"/>
        <v>-4.328618488988998E-2</v>
      </c>
      <c r="H42">
        <f t="shared" si="3"/>
        <v>-1.4051147170586447</v>
      </c>
      <c r="I42">
        <f t="shared" si="4"/>
        <v>33.866157902844819</v>
      </c>
      <c r="J42" t="b">
        <f t="shared" si="5"/>
        <v>0</v>
      </c>
      <c r="K42">
        <f t="shared" si="6"/>
        <v>9737</v>
      </c>
    </row>
    <row r="43" spans="1:11" x14ac:dyDescent="0.3">
      <c r="A43" s="1">
        <v>41884</v>
      </c>
      <c r="B43">
        <v>135178.04259999999</v>
      </c>
      <c r="C43">
        <v>141530.70869999999</v>
      </c>
      <c r="D43">
        <v>4163</v>
      </c>
      <c r="E43">
        <f t="shared" si="0"/>
        <v>32.471304972375684</v>
      </c>
      <c r="F43">
        <f t="shared" si="1"/>
        <v>-6352.6661000000022</v>
      </c>
      <c r="G43">
        <f t="shared" si="2"/>
        <v>-4.6994807572394916E-2</v>
      </c>
      <c r="H43">
        <f t="shared" si="3"/>
        <v>-1.5259827288013526</v>
      </c>
      <c r="I43">
        <f t="shared" si="4"/>
        <v>33.997287701177036</v>
      </c>
      <c r="J43" t="b">
        <f t="shared" si="5"/>
        <v>0</v>
      </c>
      <c r="K43">
        <f t="shared" si="6"/>
        <v>4163</v>
      </c>
    </row>
    <row r="44" spans="1:11" x14ac:dyDescent="0.3">
      <c r="A44" s="1">
        <v>41914</v>
      </c>
      <c r="B44">
        <v>147727.51620000001</v>
      </c>
      <c r="C44">
        <v>154828.68460000001</v>
      </c>
      <c r="D44">
        <v>4552</v>
      </c>
      <c r="E44">
        <f t="shared" si="0"/>
        <v>32.453320782073817</v>
      </c>
      <c r="F44">
        <f t="shared" si="1"/>
        <v>-7101.168399999995</v>
      </c>
      <c r="G44">
        <f t="shared" si="2"/>
        <v>-4.8069368406533829E-2</v>
      </c>
      <c r="H44">
        <f t="shared" si="3"/>
        <v>-1.5600106326889289</v>
      </c>
      <c r="I44">
        <f t="shared" si="4"/>
        <v>34.013331414762746</v>
      </c>
      <c r="J44" t="b">
        <f t="shared" si="5"/>
        <v>0</v>
      </c>
      <c r="K44">
        <f t="shared" si="6"/>
        <v>4552</v>
      </c>
    </row>
    <row r="45" spans="1:11" x14ac:dyDescent="0.3">
      <c r="A45" s="1">
        <v>41945</v>
      </c>
      <c r="B45">
        <v>135498.7464</v>
      </c>
      <c r="C45">
        <v>139824.16159999999</v>
      </c>
      <c r="D45">
        <v>4172</v>
      </c>
      <c r="E45">
        <f t="shared" si="0"/>
        <v>32.478127133269417</v>
      </c>
      <c r="F45">
        <f t="shared" si="1"/>
        <v>-4325.4151999999885</v>
      </c>
      <c r="G45">
        <f t="shared" si="2"/>
        <v>-3.1922178727994403E-2</v>
      </c>
      <c r="H45">
        <f t="shared" si="3"/>
        <v>-1.0367725790987521</v>
      </c>
      <c r="I45">
        <f t="shared" si="4"/>
        <v>33.51489971236817</v>
      </c>
      <c r="J45" t="b">
        <f t="shared" si="5"/>
        <v>0</v>
      </c>
      <c r="K45">
        <f t="shared" si="6"/>
        <v>4172</v>
      </c>
    </row>
    <row r="46" spans="1:11" x14ac:dyDescent="0.3">
      <c r="A46" s="1">
        <v>41975</v>
      </c>
      <c r="B46">
        <v>163432.84520000001</v>
      </c>
      <c r="C46">
        <v>166893.3689</v>
      </c>
      <c r="D46">
        <v>5037</v>
      </c>
      <c r="E46">
        <f t="shared" si="0"/>
        <v>32.446465197538217</v>
      </c>
      <c r="F46">
        <f t="shared" si="1"/>
        <v>-3460.5236999999906</v>
      </c>
      <c r="G46">
        <f t="shared" si="2"/>
        <v>-2.117397941500189E-2</v>
      </c>
      <c r="H46">
        <f t="shared" si="3"/>
        <v>-0.68702078618225215</v>
      </c>
      <c r="I46">
        <f t="shared" si="4"/>
        <v>33.133485983720469</v>
      </c>
      <c r="J46" t="b">
        <f t="shared" si="5"/>
        <v>0</v>
      </c>
      <c r="K46">
        <f t="shared" si="6"/>
        <v>5037</v>
      </c>
    </row>
    <row r="47" spans="1:11" x14ac:dyDescent="0.3">
      <c r="A47" t="s">
        <v>25</v>
      </c>
      <c r="B47">
        <v>138291.63329999999</v>
      </c>
      <c r="C47">
        <v>141027.4345</v>
      </c>
      <c r="D47">
        <v>4259</v>
      </c>
      <c r="E47">
        <f t="shared" si="0"/>
        <v>32.470446888941062</v>
      </c>
      <c r="F47">
        <f t="shared" si="1"/>
        <v>-2735.8012000000163</v>
      </c>
      <c r="G47">
        <f t="shared" si="2"/>
        <v>-1.978283960292207E-2</v>
      </c>
      <c r="H47">
        <f t="shared" si="3"/>
        <v>-0.64235764263911932</v>
      </c>
      <c r="I47">
        <f t="shared" si="4"/>
        <v>33.112804531580181</v>
      </c>
      <c r="J47" t="b">
        <f t="shared" si="5"/>
        <v>0</v>
      </c>
      <c r="K47">
        <f t="shared" si="6"/>
        <v>4259</v>
      </c>
    </row>
    <row r="48" spans="1:11" x14ac:dyDescent="0.3">
      <c r="A48" t="s">
        <v>26</v>
      </c>
      <c r="B48">
        <v>336901.37170000002</v>
      </c>
      <c r="C48">
        <v>343519.87550000002</v>
      </c>
      <c r="D48">
        <v>10381</v>
      </c>
      <c r="E48">
        <f t="shared" si="0"/>
        <v>32.453652991041331</v>
      </c>
      <c r="F48">
        <f t="shared" si="1"/>
        <v>-6618.5038000000059</v>
      </c>
      <c r="G48">
        <f t="shared" si="2"/>
        <v>-1.9645226632955277E-2</v>
      </c>
      <c r="H48">
        <f t="shared" si="3"/>
        <v>-0.63755936807628899</v>
      </c>
      <c r="I48">
        <f t="shared" si="4"/>
        <v>33.09121235911762</v>
      </c>
      <c r="J48" t="b">
        <f t="shared" si="5"/>
        <v>0</v>
      </c>
      <c r="K48">
        <f t="shared" si="6"/>
        <v>10381</v>
      </c>
    </row>
    <row r="49" spans="1:11" x14ac:dyDescent="0.3">
      <c r="A49" t="s">
        <v>27</v>
      </c>
      <c r="B49">
        <v>367729.26819999999</v>
      </c>
      <c r="C49">
        <v>373973.59330000001</v>
      </c>
      <c r="D49">
        <v>11332</v>
      </c>
      <c r="E49">
        <f t="shared" si="0"/>
        <v>32.450517843275676</v>
      </c>
      <c r="F49">
        <f t="shared" si="1"/>
        <v>-6244.3251000000164</v>
      </c>
      <c r="G49">
        <f t="shared" si="2"/>
        <v>-1.6980767211066439E-2</v>
      </c>
      <c r="H49">
        <f t="shared" si="3"/>
        <v>-0.55103468937522138</v>
      </c>
      <c r="I49">
        <f t="shared" si="4"/>
        <v>33.001552532650898</v>
      </c>
      <c r="J49" t="b">
        <f t="shared" si="5"/>
        <v>0</v>
      </c>
      <c r="K49">
        <f t="shared" si="6"/>
        <v>11332</v>
      </c>
    </row>
    <row r="50" spans="1:11" x14ac:dyDescent="0.3">
      <c r="A50" t="s">
        <v>28</v>
      </c>
      <c r="B50">
        <v>133913.8414</v>
      </c>
      <c r="C50">
        <v>136797.07740000001</v>
      </c>
      <c r="D50">
        <v>4127</v>
      </c>
      <c r="E50">
        <f t="shared" si="0"/>
        <v>32.448229076811245</v>
      </c>
      <c r="F50">
        <f t="shared" si="1"/>
        <v>-2883.2360000000044</v>
      </c>
      <c r="G50">
        <f t="shared" si="2"/>
        <v>-2.1530530151754757E-2</v>
      </c>
      <c r="H50">
        <f t="shared" si="3"/>
        <v>-0.69862757450933088</v>
      </c>
      <c r="I50">
        <f t="shared" si="4"/>
        <v>33.146856651320576</v>
      </c>
      <c r="J50" t="b">
        <f t="shared" si="5"/>
        <v>0</v>
      </c>
      <c r="K50">
        <f t="shared" si="6"/>
        <v>4127</v>
      </c>
    </row>
    <row r="51" spans="1:11" x14ac:dyDescent="0.3">
      <c r="A51" t="s">
        <v>29</v>
      </c>
      <c r="B51">
        <v>150800.34700000001</v>
      </c>
      <c r="C51">
        <v>152887.10639999999</v>
      </c>
      <c r="D51">
        <v>4649</v>
      </c>
      <c r="E51">
        <f t="shared" si="0"/>
        <v>32.437157883415793</v>
      </c>
      <c r="F51">
        <f t="shared" si="1"/>
        <v>-2086.7593999999808</v>
      </c>
      <c r="G51">
        <f t="shared" si="2"/>
        <v>-1.3837895213861681E-2</v>
      </c>
      <c r="H51">
        <f t="shared" si="3"/>
        <v>-0.4488619918261918</v>
      </c>
      <c r="I51">
        <f t="shared" si="4"/>
        <v>32.886019875241985</v>
      </c>
      <c r="J51" t="b">
        <f t="shared" si="5"/>
        <v>0</v>
      </c>
      <c r="K51">
        <f t="shared" si="6"/>
        <v>4649</v>
      </c>
    </row>
    <row r="52" spans="1:11" x14ac:dyDescent="0.3">
      <c r="A52" t="s">
        <v>30</v>
      </c>
      <c r="B52">
        <v>55591.930339999999</v>
      </c>
      <c r="C52">
        <v>53463.244209999997</v>
      </c>
      <c r="D52">
        <v>1627</v>
      </c>
      <c r="E52">
        <f t="shared" si="0"/>
        <v>34.168365298094649</v>
      </c>
      <c r="F52">
        <f t="shared" si="1"/>
        <v>2128.6861300000019</v>
      </c>
      <c r="G52">
        <f t="shared" si="2"/>
        <v>3.8291279273465893E-2</v>
      </c>
      <c r="H52">
        <f t="shared" si="3"/>
        <v>1.308350417947139</v>
      </c>
      <c r="I52">
        <f t="shared" si="4"/>
        <v>32.86001488014751</v>
      </c>
      <c r="J52" t="b">
        <f t="shared" si="5"/>
        <v>1</v>
      </c>
      <c r="K52">
        <f t="shared" si="6"/>
        <v>1627</v>
      </c>
    </row>
    <row r="53" spans="1:11" x14ac:dyDescent="0.3">
      <c r="A53" t="s">
        <v>31</v>
      </c>
      <c r="B53">
        <v>106427.1918</v>
      </c>
      <c r="C53">
        <v>107736.44409999999</v>
      </c>
      <c r="D53">
        <v>3281</v>
      </c>
      <c r="E53">
        <f t="shared" si="0"/>
        <v>32.43742511429442</v>
      </c>
      <c r="F53">
        <f t="shared" si="1"/>
        <v>-1309.2522999999928</v>
      </c>
      <c r="G53">
        <f t="shared" si="2"/>
        <v>-1.230185893150657E-2</v>
      </c>
      <c r="H53">
        <f t="shared" si="3"/>
        <v>-0.39904062785736016</v>
      </c>
      <c r="I53">
        <f t="shared" si="4"/>
        <v>32.83646574215178</v>
      </c>
      <c r="J53" t="b">
        <f t="shared" si="5"/>
        <v>0</v>
      </c>
      <c r="K53">
        <f t="shared" si="6"/>
        <v>3281</v>
      </c>
    </row>
    <row r="54" spans="1:11" x14ac:dyDescent="0.3">
      <c r="A54" t="s">
        <v>32</v>
      </c>
      <c r="B54">
        <v>78940.55442</v>
      </c>
      <c r="C54">
        <v>75934.394820000001</v>
      </c>
      <c r="D54">
        <v>2310</v>
      </c>
      <c r="E54">
        <f t="shared" si="0"/>
        <v>34.173400181818181</v>
      </c>
      <c r="F54">
        <f t="shared" si="1"/>
        <v>3006.159599999999</v>
      </c>
      <c r="G54">
        <f t="shared" si="2"/>
        <v>3.8081308423625324E-2</v>
      </c>
      <c r="H54">
        <f t="shared" si="3"/>
        <v>1.3013677922077918</v>
      </c>
      <c r="I54">
        <f t="shared" si="4"/>
        <v>32.872032389610389</v>
      </c>
      <c r="J54" t="b">
        <f t="shared" si="5"/>
        <v>1</v>
      </c>
      <c r="K54">
        <f t="shared" si="6"/>
        <v>2310</v>
      </c>
    </row>
    <row r="55" spans="1:11" x14ac:dyDescent="0.3">
      <c r="A55" t="s">
        <v>33</v>
      </c>
      <c r="B55">
        <v>317916.31790000002</v>
      </c>
      <c r="C55">
        <v>322089.78899999999</v>
      </c>
      <c r="D55">
        <v>9802</v>
      </c>
      <c r="E55">
        <f t="shared" si="0"/>
        <v>32.433821454805141</v>
      </c>
      <c r="F55">
        <f t="shared" si="1"/>
        <v>-4173.4710999999661</v>
      </c>
      <c r="G55">
        <f t="shared" si="2"/>
        <v>-1.3127577494505091E-2</v>
      </c>
      <c r="H55">
        <f t="shared" si="3"/>
        <v>-0.42577750459089714</v>
      </c>
      <c r="I55">
        <f t="shared" si="4"/>
        <v>32.859598959396038</v>
      </c>
      <c r="J55" t="b">
        <f t="shared" si="5"/>
        <v>0</v>
      </c>
      <c r="K55">
        <f t="shared" si="6"/>
        <v>9802</v>
      </c>
    </row>
    <row r="56" spans="1:11" x14ac:dyDescent="0.3">
      <c r="A56" t="s">
        <v>34</v>
      </c>
      <c r="B56">
        <v>309217.87560000003</v>
      </c>
      <c r="C56">
        <v>320116.92430000001</v>
      </c>
      <c r="D56">
        <v>9772</v>
      </c>
      <c r="E56">
        <f t="shared" si="0"/>
        <v>31.643253745395008</v>
      </c>
      <c r="F56">
        <f t="shared" si="1"/>
        <v>-10899.048699999985</v>
      </c>
      <c r="G56">
        <f t="shared" si="2"/>
        <v>-3.5247149534455902E-2</v>
      </c>
      <c r="H56">
        <f t="shared" si="3"/>
        <v>-1.1153344965206742</v>
      </c>
      <c r="I56">
        <f t="shared" si="4"/>
        <v>32.758588241915682</v>
      </c>
      <c r="J56" t="b">
        <f t="shared" si="5"/>
        <v>0</v>
      </c>
      <c r="K56">
        <f t="shared" si="6"/>
        <v>9772</v>
      </c>
    </row>
    <row r="57" spans="1:11" x14ac:dyDescent="0.3">
      <c r="A57" t="s">
        <v>35</v>
      </c>
      <c r="B57">
        <v>138491.54999999999</v>
      </c>
      <c r="C57">
        <v>140752.60159999999</v>
      </c>
      <c r="D57">
        <v>4270</v>
      </c>
      <c r="E57">
        <f t="shared" si="0"/>
        <v>32.433618266978918</v>
      </c>
      <c r="F57">
        <f t="shared" si="1"/>
        <v>-2261.0516000000061</v>
      </c>
      <c r="G57">
        <f t="shared" si="2"/>
        <v>-1.6326278390270066E-2</v>
      </c>
      <c r="H57">
        <f t="shared" si="3"/>
        <v>-0.52952028103045023</v>
      </c>
      <c r="I57">
        <f t="shared" si="4"/>
        <v>32.963138548009368</v>
      </c>
      <c r="J57" t="b">
        <f t="shared" si="5"/>
        <v>0</v>
      </c>
      <c r="K57">
        <f t="shared" si="6"/>
        <v>4270</v>
      </c>
    </row>
    <row r="58" spans="1:11" x14ac:dyDescent="0.3">
      <c r="A58" t="s">
        <v>36</v>
      </c>
      <c r="B58">
        <v>133146.22219999999</v>
      </c>
      <c r="C58">
        <v>134505.40419999999</v>
      </c>
      <c r="D58">
        <v>4106</v>
      </c>
      <c r="E58">
        <f t="shared" si="0"/>
        <v>32.427233852898198</v>
      </c>
      <c r="F58">
        <f t="shared" si="1"/>
        <v>-1359.1820000000007</v>
      </c>
      <c r="G58">
        <f t="shared" si="2"/>
        <v>-1.0208190495697E-2</v>
      </c>
      <c r="H58">
        <f t="shared" si="3"/>
        <v>-0.33102338041889823</v>
      </c>
      <c r="I58">
        <f t="shared" si="4"/>
        <v>32.758257233317096</v>
      </c>
      <c r="J58" t="b">
        <f t="shared" si="5"/>
        <v>0</v>
      </c>
      <c r="K58">
        <f t="shared" si="6"/>
        <v>4106</v>
      </c>
    </row>
    <row r="59" spans="1:11" x14ac:dyDescent="0.3">
      <c r="A59" t="s">
        <v>37</v>
      </c>
      <c r="B59">
        <v>224994.6562</v>
      </c>
      <c r="C59">
        <v>227546.4466</v>
      </c>
      <c r="D59">
        <v>6937</v>
      </c>
      <c r="E59">
        <f t="shared" si="0"/>
        <v>32.433999740521841</v>
      </c>
      <c r="F59">
        <f t="shared" si="1"/>
        <v>-2551.790399999998</v>
      </c>
      <c r="G59">
        <f t="shared" si="2"/>
        <v>-1.1341560031237747E-2</v>
      </c>
      <c r="H59">
        <f t="shared" si="3"/>
        <v>-0.36785215511027758</v>
      </c>
      <c r="I59">
        <f t="shared" si="4"/>
        <v>32.801851895632119</v>
      </c>
      <c r="J59" t="b">
        <f t="shared" si="5"/>
        <v>0</v>
      </c>
      <c r="K59">
        <f t="shared" si="6"/>
        <v>6937</v>
      </c>
    </row>
    <row r="60" spans="1:11" x14ac:dyDescent="0.3">
      <c r="A60" t="s">
        <v>38</v>
      </c>
      <c r="B60">
        <v>225051.59150000001</v>
      </c>
      <c r="C60">
        <v>228214.1421</v>
      </c>
      <c r="D60">
        <v>6934</v>
      </c>
      <c r="E60">
        <f t="shared" si="0"/>
        <v>32.456243366022498</v>
      </c>
      <c r="F60">
        <f t="shared" si="1"/>
        <v>-3162.5505999999878</v>
      </c>
      <c r="G60">
        <f t="shared" si="2"/>
        <v>-1.4052558255292266E-2</v>
      </c>
      <c r="H60">
        <f t="shared" si="3"/>
        <v>-0.45609325064897632</v>
      </c>
      <c r="I60">
        <f t="shared" si="4"/>
        <v>32.912336616671475</v>
      </c>
      <c r="J60" t="b">
        <f t="shared" si="5"/>
        <v>0</v>
      </c>
      <c r="K60">
        <f t="shared" si="6"/>
        <v>6934</v>
      </c>
    </row>
    <row r="61" spans="1:11" x14ac:dyDescent="0.3">
      <c r="A61" t="s">
        <v>39</v>
      </c>
      <c r="B61">
        <v>344299.68239999999</v>
      </c>
      <c r="C61">
        <v>365935.65299999999</v>
      </c>
      <c r="D61">
        <v>11082</v>
      </c>
      <c r="E61">
        <f t="shared" si="0"/>
        <v>31.0683705468327</v>
      </c>
      <c r="F61">
        <f t="shared" si="1"/>
        <v>-21635.970600000001</v>
      </c>
      <c r="G61">
        <f t="shared" si="2"/>
        <v>-6.2840518612107793E-2</v>
      </c>
      <c r="H61">
        <f t="shared" si="3"/>
        <v>-1.9523525175961005</v>
      </c>
      <c r="I61">
        <f t="shared" si="4"/>
        <v>33.0207230644288</v>
      </c>
      <c r="J61" t="b">
        <f t="shared" si="5"/>
        <v>0</v>
      </c>
      <c r="K61">
        <f t="shared" si="6"/>
        <v>11082</v>
      </c>
    </row>
    <row r="62" spans="1:11" x14ac:dyDescent="0.3">
      <c r="A62" t="s">
        <v>40</v>
      </c>
      <c r="B62">
        <v>661876.5</v>
      </c>
      <c r="C62">
        <v>686656.79099999997</v>
      </c>
      <c r="D62">
        <v>20805</v>
      </c>
      <c r="E62">
        <f t="shared" si="0"/>
        <v>31.813338139870222</v>
      </c>
      <c r="F62">
        <f t="shared" si="1"/>
        <v>-24780.290999999968</v>
      </c>
      <c r="G62">
        <f t="shared" si="2"/>
        <v>-3.7439448295867837E-2</v>
      </c>
      <c r="H62">
        <f t="shared" si="3"/>
        <v>-1.1910738284066333</v>
      </c>
      <c r="I62">
        <f t="shared" si="4"/>
        <v>33.004411968276855</v>
      </c>
      <c r="J62" t="b">
        <f t="shared" si="5"/>
        <v>0</v>
      </c>
      <c r="K62">
        <f t="shared" si="6"/>
        <v>20805</v>
      </c>
    </row>
    <row r="63" spans="1:11" x14ac:dyDescent="0.3">
      <c r="A63" s="1">
        <v>41642</v>
      </c>
      <c r="B63">
        <v>846678.38820000004</v>
      </c>
      <c r="C63">
        <v>872081.58499999996</v>
      </c>
      <c r="D63">
        <v>26410</v>
      </c>
      <c r="E63">
        <f t="shared" si="0"/>
        <v>32.05900750473306</v>
      </c>
      <c r="F63">
        <f t="shared" si="1"/>
        <v>-25403.196799999918</v>
      </c>
      <c r="G63">
        <f t="shared" si="2"/>
        <v>-3.0003360371588041E-2</v>
      </c>
      <c r="H63">
        <f t="shared" si="3"/>
        <v>-0.9618779553199488</v>
      </c>
      <c r="I63">
        <f t="shared" si="4"/>
        <v>33.020885460053009</v>
      </c>
      <c r="J63" t="b">
        <f t="shared" si="5"/>
        <v>0</v>
      </c>
      <c r="K63">
        <f t="shared" si="6"/>
        <v>26410</v>
      </c>
    </row>
    <row r="64" spans="1:11" x14ac:dyDescent="0.3">
      <c r="A64" s="1">
        <v>41673</v>
      </c>
      <c r="B64">
        <v>478902.30489999999</v>
      </c>
      <c r="C64">
        <v>495554.44990000001</v>
      </c>
      <c r="D64">
        <v>15004</v>
      </c>
      <c r="E64">
        <f t="shared" si="0"/>
        <v>31.918308777659291</v>
      </c>
      <c r="F64">
        <f t="shared" si="1"/>
        <v>-16652.145000000019</v>
      </c>
      <c r="G64">
        <f t="shared" si="2"/>
        <v>-3.4771486438089222E-2</v>
      </c>
      <c r="H64">
        <f t="shared" si="3"/>
        <v>-1.1098470407891199</v>
      </c>
      <c r="I64">
        <f t="shared" si="4"/>
        <v>33.028155818448411</v>
      </c>
      <c r="J64" t="b">
        <f t="shared" si="5"/>
        <v>0</v>
      </c>
      <c r="K64">
        <f t="shared" si="6"/>
        <v>15004</v>
      </c>
    </row>
    <row r="65" spans="1:11" x14ac:dyDescent="0.3">
      <c r="A65" s="1">
        <v>41701</v>
      </c>
      <c r="B65">
        <v>538827.20209999999</v>
      </c>
      <c r="C65">
        <v>557567.13699999999</v>
      </c>
      <c r="D65">
        <v>16884</v>
      </c>
      <c r="E65">
        <f t="shared" si="0"/>
        <v>31.913480342335941</v>
      </c>
      <c r="F65">
        <f t="shared" si="1"/>
        <v>-18739.934899999993</v>
      </c>
      <c r="G65">
        <f t="shared" si="2"/>
        <v>-3.477911810495804E-2</v>
      </c>
      <c r="H65">
        <f t="shared" si="3"/>
        <v>-1.109922701966358</v>
      </c>
      <c r="I65">
        <f t="shared" si="4"/>
        <v>33.023403044302299</v>
      </c>
      <c r="J65" t="b">
        <f t="shared" si="5"/>
        <v>0</v>
      </c>
      <c r="K65">
        <f t="shared" si="6"/>
        <v>16884</v>
      </c>
    </row>
    <row r="66" spans="1:11" x14ac:dyDescent="0.3">
      <c r="A66" s="1">
        <v>41732</v>
      </c>
      <c r="B66">
        <v>310346.1213</v>
      </c>
      <c r="C66">
        <v>323325.02990000002</v>
      </c>
      <c r="D66">
        <v>9789</v>
      </c>
      <c r="E66">
        <f t="shared" si="0"/>
        <v>31.703557186638061</v>
      </c>
      <c r="F66">
        <f t="shared" si="1"/>
        <v>-12978.908600000024</v>
      </c>
      <c r="G66">
        <f t="shared" si="2"/>
        <v>-4.1820753375724641E-2</v>
      </c>
      <c r="H66">
        <f t="shared" si="3"/>
        <v>-1.3258666462355713</v>
      </c>
      <c r="I66">
        <f t="shared" si="4"/>
        <v>33.029423832873633</v>
      </c>
      <c r="J66" t="b">
        <f t="shared" si="5"/>
        <v>0</v>
      </c>
      <c r="K66">
        <f t="shared" si="6"/>
        <v>9789</v>
      </c>
    </row>
    <row r="67" spans="1:11" x14ac:dyDescent="0.3">
      <c r="A67" s="1">
        <v>41762</v>
      </c>
      <c r="B67">
        <v>256390.52220000001</v>
      </c>
      <c r="C67">
        <v>267308.50709999999</v>
      </c>
      <c r="D67">
        <v>8079</v>
      </c>
      <c r="E67">
        <f t="shared" ref="E67:E130" si="7">B67/D67</f>
        <v>31.73542792424805</v>
      </c>
      <c r="F67">
        <f t="shared" ref="F67:F130" si="8">B67-C67</f>
        <v>-10917.984899999981</v>
      </c>
      <c r="G67">
        <f t="shared" ref="G67:H130" si="9">F67/B67</f>
        <v>-4.2583418475521093E-2</v>
      </c>
      <c r="H67">
        <f t="shared" ref="H67:H130" si="10">E67-I67</f>
        <v>-1.3514030077979911</v>
      </c>
      <c r="I67">
        <f t="shared" ref="I67:I130" si="11">C67/D67</f>
        <v>33.086830932046041</v>
      </c>
      <c r="J67" t="b">
        <f t="shared" ref="J67:J130" si="12">H67&gt;0</f>
        <v>0</v>
      </c>
      <c r="K67">
        <f t="shared" ref="K67:K130" si="13">D67</f>
        <v>8079</v>
      </c>
    </row>
    <row r="68" spans="1:11" x14ac:dyDescent="0.3">
      <c r="A68" s="1">
        <v>41793</v>
      </c>
      <c r="B68">
        <v>167803.65979999999</v>
      </c>
      <c r="C68">
        <v>168135.69</v>
      </c>
      <c r="D68">
        <v>5072</v>
      </c>
      <c r="E68">
        <f t="shared" si="7"/>
        <v>33.084317783911672</v>
      </c>
      <c r="F68">
        <f t="shared" si="8"/>
        <v>-332.03020000000834</v>
      </c>
      <c r="G68">
        <f t="shared" si="9"/>
        <v>-1.9786827080872068E-3</v>
      </c>
      <c r="H68">
        <f t="shared" si="10"/>
        <v>-6.5463367507888393E-2</v>
      </c>
      <c r="I68">
        <f t="shared" si="11"/>
        <v>33.14978115141956</v>
      </c>
      <c r="J68" t="b">
        <f t="shared" si="12"/>
        <v>0</v>
      </c>
      <c r="K68">
        <f t="shared" si="13"/>
        <v>5072</v>
      </c>
    </row>
    <row r="69" spans="1:11" x14ac:dyDescent="0.3">
      <c r="A69" s="1">
        <v>41823</v>
      </c>
      <c r="B69">
        <v>465318.02149999997</v>
      </c>
      <c r="C69">
        <v>483774.59669999999</v>
      </c>
      <c r="D69">
        <v>14551</v>
      </c>
      <c r="E69">
        <f t="shared" si="7"/>
        <v>31.978422204659473</v>
      </c>
      <c r="F69">
        <f t="shared" si="8"/>
        <v>-18456.575200000021</v>
      </c>
      <c r="G69">
        <f t="shared" si="9"/>
        <v>-3.9664432382187503E-2</v>
      </c>
      <c r="H69">
        <f t="shared" si="10"/>
        <v>-1.2684059652257602</v>
      </c>
      <c r="I69">
        <f t="shared" si="11"/>
        <v>33.246828169885234</v>
      </c>
      <c r="J69" t="b">
        <f t="shared" si="12"/>
        <v>0</v>
      </c>
      <c r="K69">
        <f t="shared" si="13"/>
        <v>14551</v>
      </c>
    </row>
    <row r="70" spans="1:11" x14ac:dyDescent="0.3">
      <c r="A70" s="1">
        <v>41854</v>
      </c>
      <c r="B70">
        <v>520146.74959999998</v>
      </c>
      <c r="C70">
        <v>541498.95819999999</v>
      </c>
      <c r="D70">
        <v>16262</v>
      </c>
      <c r="E70">
        <f t="shared" si="7"/>
        <v>31.985410748985363</v>
      </c>
      <c r="F70">
        <f t="shared" si="8"/>
        <v>-21352.208600000013</v>
      </c>
      <c r="G70">
        <f t="shared" si="9"/>
        <v>-4.1050354763189724E-2</v>
      </c>
      <c r="H70">
        <f t="shared" si="10"/>
        <v>-1.3130124584921923</v>
      </c>
      <c r="I70">
        <f t="shared" si="11"/>
        <v>33.298423207477555</v>
      </c>
      <c r="J70" t="b">
        <f t="shared" si="12"/>
        <v>0</v>
      </c>
      <c r="K70">
        <f t="shared" si="13"/>
        <v>16262</v>
      </c>
    </row>
    <row r="71" spans="1:11" x14ac:dyDescent="0.3">
      <c r="A71" s="1">
        <v>41885</v>
      </c>
      <c r="B71">
        <v>224699.25279999999</v>
      </c>
      <c r="C71">
        <v>233589.98300000001</v>
      </c>
      <c r="D71">
        <v>7014</v>
      </c>
      <c r="E71">
        <f t="shared" si="7"/>
        <v>32.035821613915026</v>
      </c>
      <c r="F71">
        <f t="shared" si="8"/>
        <v>-8890.73020000002</v>
      </c>
      <c r="G71">
        <f t="shared" si="9"/>
        <v>-3.9567244168423957E-2</v>
      </c>
      <c r="H71">
        <f t="shared" si="10"/>
        <v>-1.2675691759338505</v>
      </c>
      <c r="I71">
        <f t="shared" si="11"/>
        <v>33.303390789848876</v>
      </c>
      <c r="J71" t="b">
        <f t="shared" si="12"/>
        <v>0</v>
      </c>
      <c r="K71">
        <f t="shared" si="13"/>
        <v>7014</v>
      </c>
    </row>
    <row r="72" spans="1:11" x14ac:dyDescent="0.3">
      <c r="A72" s="1">
        <v>41915</v>
      </c>
      <c r="B72">
        <v>286230.6789</v>
      </c>
      <c r="C72">
        <v>297642.89140000002</v>
      </c>
      <c r="D72">
        <v>8932</v>
      </c>
      <c r="E72">
        <f t="shared" si="7"/>
        <v>32.045530553067621</v>
      </c>
      <c r="F72">
        <f t="shared" si="8"/>
        <v>-11412.212500000023</v>
      </c>
      <c r="G72">
        <f t="shared" si="9"/>
        <v>-3.9870682429492793E-2</v>
      </c>
      <c r="H72">
        <f t="shared" si="10"/>
        <v>-1.2776771719659692</v>
      </c>
      <c r="I72">
        <f t="shared" si="11"/>
        <v>33.323207725033591</v>
      </c>
      <c r="J72" t="b">
        <f t="shared" si="12"/>
        <v>0</v>
      </c>
      <c r="K72">
        <f t="shared" si="13"/>
        <v>8932</v>
      </c>
    </row>
    <row r="73" spans="1:11" x14ac:dyDescent="0.3">
      <c r="A73" s="1">
        <v>41946</v>
      </c>
      <c r="B73">
        <v>187143.01809999999</v>
      </c>
      <c r="C73">
        <v>191499.0428</v>
      </c>
      <c r="D73">
        <v>5737</v>
      </c>
      <c r="E73">
        <f t="shared" si="7"/>
        <v>32.62036222764511</v>
      </c>
      <c r="F73">
        <f t="shared" si="8"/>
        <v>-4356.024700000009</v>
      </c>
      <c r="G73">
        <f t="shared" si="9"/>
        <v>-2.3276447843073495E-2</v>
      </c>
      <c r="H73">
        <f t="shared" si="10"/>
        <v>-0.75928616001394289</v>
      </c>
      <c r="I73">
        <f t="shared" si="11"/>
        <v>33.379648387659053</v>
      </c>
      <c r="J73" t="b">
        <f t="shared" si="12"/>
        <v>0</v>
      </c>
      <c r="K73">
        <f t="shared" si="13"/>
        <v>5737</v>
      </c>
    </row>
    <row r="74" spans="1:11" x14ac:dyDescent="0.3">
      <c r="A74" s="1">
        <v>41976</v>
      </c>
      <c r="B74">
        <v>191700.3891</v>
      </c>
      <c r="C74">
        <v>197153.424</v>
      </c>
      <c r="D74">
        <v>5903</v>
      </c>
      <c r="E74">
        <f t="shared" si="7"/>
        <v>32.475078621040147</v>
      </c>
      <c r="F74">
        <f t="shared" si="8"/>
        <v>-5453.0348999999987</v>
      </c>
      <c r="G74">
        <f t="shared" si="9"/>
        <v>-2.8445612059532322E-2</v>
      </c>
      <c r="H74">
        <f t="shared" si="10"/>
        <v>-0.9237734880569235</v>
      </c>
      <c r="I74">
        <f t="shared" si="11"/>
        <v>33.398852109097071</v>
      </c>
      <c r="J74" t="b">
        <f t="shared" si="12"/>
        <v>0</v>
      </c>
      <c r="K74">
        <f t="shared" si="13"/>
        <v>5903</v>
      </c>
    </row>
    <row r="75" spans="1:11" x14ac:dyDescent="0.3">
      <c r="A75" t="s">
        <v>41</v>
      </c>
      <c r="B75">
        <v>164663.9676</v>
      </c>
      <c r="C75">
        <v>168975.174</v>
      </c>
      <c r="D75">
        <v>5056</v>
      </c>
      <c r="E75">
        <f t="shared" si="7"/>
        <v>32.568031566455694</v>
      </c>
      <c r="F75">
        <f t="shared" si="8"/>
        <v>-4311.2063999999955</v>
      </c>
      <c r="G75">
        <f t="shared" si="9"/>
        <v>-2.6181844533667092E-2</v>
      </c>
      <c r="H75">
        <f t="shared" si="10"/>
        <v>-0.85269113924050544</v>
      </c>
      <c r="I75">
        <f t="shared" si="11"/>
        <v>33.4207227056962</v>
      </c>
      <c r="J75" t="b">
        <f t="shared" si="12"/>
        <v>0</v>
      </c>
      <c r="K75">
        <f t="shared" si="13"/>
        <v>5056</v>
      </c>
    </row>
    <row r="76" spans="1:11" x14ac:dyDescent="0.3">
      <c r="A76" t="s">
        <v>42</v>
      </c>
      <c r="B76">
        <v>395941.34509999998</v>
      </c>
      <c r="C76">
        <v>406765.91399999999</v>
      </c>
      <c r="D76">
        <v>12167</v>
      </c>
      <c r="E76">
        <f t="shared" si="7"/>
        <v>32.542232686775705</v>
      </c>
      <c r="F76">
        <f t="shared" si="8"/>
        <v>-10824.568900000013</v>
      </c>
      <c r="G76">
        <f t="shared" si="9"/>
        <v>-2.7338819332611328E-2</v>
      </c>
      <c r="H76">
        <f t="shared" si="10"/>
        <v>-0.88966622010355678</v>
      </c>
      <c r="I76">
        <f t="shared" si="11"/>
        <v>33.431898906879262</v>
      </c>
      <c r="J76" t="b">
        <f t="shared" si="12"/>
        <v>0</v>
      </c>
      <c r="K76">
        <f t="shared" si="13"/>
        <v>12167</v>
      </c>
    </row>
    <row r="77" spans="1:11" x14ac:dyDescent="0.3">
      <c r="A77" t="s">
        <v>43</v>
      </c>
      <c r="B77">
        <v>518183.21039999998</v>
      </c>
      <c r="C77">
        <v>534383.14309999999</v>
      </c>
      <c r="D77">
        <v>15971</v>
      </c>
      <c r="E77">
        <f t="shared" si="7"/>
        <v>32.44525767954417</v>
      </c>
      <c r="F77">
        <f t="shared" si="8"/>
        <v>-16199.932700000005</v>
      </c>
      <c r="G77">
        <f t="shared" si="9"/>
        <v>-3.126294402224037E-2</v>
      </c>
      <c r="H77">
        <f t="shared" si="10"/>
        <v>-1.0143342746227546</v>
      </c>
      <c r="I77">
        <f t="shared" si="11"/>
        <v>33.459591954166925</v>
      </c>
      <c r="J77" t="b">
        <f t="shared" si="12"/>
        <v>0</v>
      </c>
      <c r="K77">
        <f t="shared" si="13"/>
        <v>15971</v>
      </c>
    </row>
    <row r="78" spans="1:11" x14ac:dyDescent="0.3">
      <c r="A78" t="s">
        <v>44</v>
      </c>
      <c r="B78">
        <v>226617.95490000001</v>
      </c>
      <c r="C78">
        <v>233191.10459999999</v>
      </c>
      <c r="D78">
        <v>6968</v>
      </c>
      <c r="E78">
        <f t="shared" si="7"/>
        <v>32.522668613662461</v>
      </c>
      <c r="F78">
        <f t="shared" si="8"/>
        <v>-6573.1496999999799</v>
      </c>
      <c r="G78">
        <f t="shared" si="9"/>
        <v>-2.9005423259161094E-2</v>
      </c>
      <c r="H78">
        <f t="shared" si="10"/>
        <v>-0.94333376865671426</v>
      </c>
      <c r="I78">
        <f t="shared" si="11"/>
        <v>33.466002382319175</v>
      </c>
      <c r="J78" t="b">
        <f t="shared" si="12"/>
        <v>0</v>
      </c>
      <c r="K78">
        <f t="shared" si="13"/>
        <v>6968</v>
      </c>
    </row>
    <row r="79" spans="1:11" x14ac:dyDescent="0.3">
      <c r="A79" t="s">
        <v>45</v>
      </c>
      <c r="B79">
        <v>243707.8719</v>
      </c>
      <c r="C79">
        <v>250794.2213</v>
      </c>
      <c r="D79">
        <v>7494</v>
      </c>
      <c r="E79">
        <f t="shared" si="7"/>
        <v>32.520399239391516</v>
      </c>
      <c r="F79">
        <f t="shared" si="8"/>
        <v>-7086.3494000000064</v>
      </c>
      <c r="G79">
        <f t="shared" si="9"/>
        <v>-2.9077228177954502E-2</v>
      </c>
      <c r="H79">
        <f t="shared" si="10"/>
        <v>-0.94560306912196523</v>
      </c>
      <c r="I79">
        <f t="shared" si="11"/>
        <v>33.466002308513481</v>
      </c>
      <c r="J79" t="b">
        <f t="shared" si="12"/>
        <v>0</v>
      </c>
      <c r="K79">
        <f t="shared" si="13"/>
        <v>7494</v>
      </c>
    </row>
    <row r="80" spans="1:11" x14ac:dyDescent="0.3">
      <c r="A80" t="s">
        <v>46</v>
      </c>
      <c r="B80">
        <v>94849.743799999997</v>
      </c>
      <c r="C80">
        <v>90571.588919999995</v>
      </c>
      <c r="D80">
        <v>2707</v>
      </c>
      <c r="E80">
        <f t="shared" si="7"/>
        <v>35.038693683043959</v>
      </c>
      <c r="F80">
        <f t="shared" si="8"/>
        <v>4278.1548800000019</v>
      </c>
      <c r="G80">
        <f t="shared" si="9"/>
        <v>4.510454861133744E-2</v>
      </c>
      <c r="H80">
        <f t="shared" si="10"/>
        <v>1.5804044625046174</v>
      </c>
      <c r="I80">
        <f t="shared" si="11"/>
        <v>33.458289220539342</v>
      </c>
      <c r="J80" t="b">
        <f t="shared" si="12"/>
        <v>1</v>
      </c>
      <c r="K80">
        <f t="shared" si="13"/>
        <v>2707</v>
      </c>
    </row>
    <row r="81" spans="1:11" x14ac:dyDescent="0.3">
      <c r="A81" t="s">
        <v>47</v>
      </c>
      <c r="B81">
        <v>92386.783070000005</v>
      </c>
      <c r="C81">
        <v>88255.840989999997</v>
      </c>
      <c r="D81">
        <v>2637</v>
      </c>
      <c r="E81">
        <f t="shared" si="7"/>
        <v>35.034805866514979</v>
      </c>
      <c r="F81">
        <f t="shared" si="8"/>
        <v>4130.942080000008</v>
      </c>
      <c r="G81">
        <f t="shared" si="9"/>
        <v>4.4713561212214287E-2</v>
      </c>
      <c r="H81">
        <f t="shared" si="10"/>
        <v>1.5665309366704605</v>
      </c>
      <c r="I81">
        <f t="shared" si="11"/>
        <v>33.468274929844519</v>
      </c>
      <c r="J81" t="b">
        <f t="shared" si="12"/>
        <v>1</v>
      </c>
      <c r="K81">
        <f t="shared" si="13"/>
        <v>2637</v>
      </c>
    </row>
    <row r="82" spans="1:11" x14ac:dyDescent="0.3">
      <c r="A82" t="s">
        <v>48</v>
      </c>
      <c r="B82">
        <v>180394.82769999999</v>
      </c>
      <c r="C82">
        <v>172344.30439999999</v>
      </c>
      <c r="D82">
        <v>5149</v>
      </c>
      <c r="E82">
        <f t="shared" si="7"/>
        <v>35.034924781510973</v>
      </c>
      <c r="F82">
        <f t="shared" si="8"/>
        <v>8050.5233000000007</v>
      </c>
      <c r="G82">
        <f t="shared" si="9"/>
        <v>4.4627240163383028E-2</v>
      </c>
      <c r="H82">
        <f t="shared" si="10"/>
        <v>1.5635120023305547</v>
      </c>
      <c r="I82">
        <f t="shared" si="11"/>
        <v>33.471412779180419</v>
      </c>
      <c r="J82" t="b">
        <f t="shared" si="12"/>
        <v>1</v>
      </c>
      <c r="K82">
        <f t="shared" si="13"/>
        <v>5149</v>
      </c>
    </row>
    <row r="83" spans="1:11" x14ac:dyDescent="0.3">
      <c r="A83" t="s">
        <v>49</v>
      </c>
      <c r="B83">
        <v>200939.6924</v>
      </c>
      <c r="C83">
        <v>192019.14430000001</v>
      </c>
      <c r="D83">
        <v>5735</v>
      </c>
      <c r="E83">
        <f t="shared" si="7"/>
        <v>35.037435466434175</v>
      </c>
      <c r="F83">
        <f t="shared" si="8"/>
        <v>8920.5480999999854</v>
      </c>
      <c r="G83">
        <f t="shared" si="9"/>
        <v>4.4394156243866056E-2</v>
      </c>
      <c r="H83">
        <f t="shared" si="10"/>
        <v>1.5554573844812509</v>
      </c>
      <c r="I83">
        <f t="shared" si="11"/>
        <v>33.481978081952924</v>
      </c>
      <c r="J83" t="b">
        <f t="shared" si="12"/>
        <v>1</v>
      </c>
      <c r="K83">
        <f t="shared" si="13"/>
        <v>5735</v>
      </c>
    </row>
    <row r="84" spans="1:11" x14ac:dyDescent="0.3">
      <c r="A84" t="s">
        <v>50</v>
      </c>
      <c r="B84">
        <v>172953.9247</v>
      </c>
      <c r="C84">
        <v>165201.30499999999</v>
      </c>
      <c r="D84">
        <v>4936</v>
      </c>
      <c r="E84">
        <f t="shared" si="7"/>
        <v>35.039287824149106</v>
      </c>
      <c r="F84">
        <f t="shared" si="8"/>
        <v>7752.6197000000102</v>
      </c>
      <c r="G84">
        <f t="shared" si="9"/>
        <v>4.4824768870943173E-2</v>
      </c>
      <c r="H84">
        <f t="shared" si="10"/>
        <v>1.570627978119937</v>
      </c>
      <c r="I84">
        <f t="shared" si="11"/>
        <v>33.468659846029169</v>
      </c>
      <c r="J84" t="b">
        <f t="shared" si="12"/>
        <v>1</v>
      </c>
      <c r="K84">
        <f t="shared" si="13"/>
        <v>4936</v>
      </c>
    </row>
    <row r="85" spans="1:11" x14ac:dyDescent="0.3">
      <c r="A85" t="s">
        <v>51</v>
      </c>
      <c r="B85">
        <v>70194.799540000007</v>
      </c>
      <c r="C85">
        <v>67061.622709999996</v>
      </c>
      <c r="D85">
        <v>2003</v>
      </c>
      <c r="E85">
        <f t="shared" si="7"/>
        <v>35.044832521218176</v>
      </c>
      <c r="F85">
        <f t="shared" si="8"/>
        <v>3133.1768300000113</v>
      </c>
      <c r="G85">
        <f t="shared" si="9"/>
        <v>4.4635455197996436E-2</v>
      </c>
      <c r="H85">
        <f t="shared" si="10"/>
        <v>1.5642420519221218</v>
      </c>
      <c r="I85">
        <f t="shared" si="11"/>
        <v>33.480590469296054</v>
      </c>
      <c r="J85" t="b">
        <f t="shared" si="12"/>
        <v>1</v>
      </c>
      <c r="K85">
        <f t="shared" si="13"/>
        <v>2003</v>
      </c>
    </row>
    <row r="86" spans="1:11" x14ac:dyDescent="0.3">
      <c r="A86" t="s">
        <v>52</v>
      </c>
      <c r="B86">
        <v>81378.214630000002</v>
      </c>
      <c r="C86">
        <v>77703.646330000003</v>
      </c>
      <c r="D86">
        <v>2323</v>
      </c>
      <c r="E86">
        <f t="shared" si="7"/>
        <v>35.031517275075338</v>
      </c>
      <c r="F86">
        <f t="shared" si="8"/>
        <v>3674.568299999999</v>
      </c>
      <c r="G86">
        <f t="shared" si="9"/>
        <v>4.5154201486319816E-2</v>
      </c>
      <c r="H86">
        <f t="shared" si="10"/>
        <v>1.5818201894102515</v>
      </c>
      <c r="I86">
        <f t="shared" si="11"/>
        <v>33.449697085665086</v>
      </c>
      <c r="J86" t="b">
        <f t="shared" si="12"/>
        <v>1</v>
      </c>
      <c r="K86">
        <f t="shared" si="13"/>
        <v>2323</v>
      </c>
    </row>
    <row r="87" spans="1:11" x14ac:dyDescent="0.3">
      <c r="A87" t="s">
        <v>53</v>
      </c>
      <c r="B87">
        <v>130227.0147</v>
      </c>
      <c r="C87">
        <v>127394.2892</v>
      </c>
      <c r="D87">
        <v>3822</v>
      </c>
      <c r="E87">
        <f t="shared" si="7"/>
        <v>34.073002276295135</v>
      </c>
      <c r="F87">
        <f t="shared" si="8"/>
        <v>2832.7255000000005</v>
      </c>
      <c r="G87">
        <f t="shared" si="9"/>
        <v>2.1752210987295253E-2</v>
      </c>
      <c r="H87">
        <f t="shared" si="10"/>
        <v>0.74116313448456594</v>
      </c>
      <c r="I87">
        <f t="shared" si="11"/>
        <v>33.331839141810569</v>
      </c>
      <c r="J87" t="b">
        <f t="shared" si="12"/>
        <v>1</v>
      </c>
      <c r="K87">
        <f t="shared" si="13"/>
        <v>3822</v>
      </c>
    </row>
    <row r="88" spans="1:11" x14ac:dyDescent="0.3">
      <c r="A88" t="s">
        <v>54</v>
      </c>
      <c r="B88">
        <v>125310.0364</v>
      </c>
      <c r="C88">
        <v>122275.1026</v>
      </c>
      <c r="D88">
        <v>3666</v>
      </c>
      <c r="E88">
        <f t="shared" si="7"/>
        <v>34.181679323513364</v>
      </c>
      <c r="F88">
        <f t="shared" si="8"/>
        <v>3034.9337999999989</v>
      </c>
      <c r="G88">
        <f t="shared" si="9"/>
        <v>2.421939923720267E-2</v>
      </c>
      <c r="H88">
        <f t="shared" si="10"/>
        <v>0.8278597381342081</v>
      </c>
      <c r="I88">
        <f t="shared" si="11"/>
        <v>33.353819585379156</v>
      </c>
      <c r="J88" t="b">
        <f t="shared" si="12"/>
        <v>1</v>
      </c>
      <c r="K88">
        <f t="shared" si="13"/>
        <v>3666</v>
      </c>
    </row>
    <row r="89" spans="1:11" x14ac:dyDescent="0.3">
      <c r="A89" t="s">
        <v>55</v>
      </c>
      <c r="B89">
        <v>119452.33960000001</v>
      </c>
      <c r="C89">
        <v>118186.575</v>
      </c>
      <c r="D89">
        <v>3543</v>
      </c>
      <c r="E89">
        <f t="shared" si="7"/>
        <v>33.715026700536271</v>
      </c>
      <c r="F89">
        <f t="shared" si="8"/>
        <v>1265.7646000000095</v>
      </c>
      <c r="G89">
        <f t="shared" si="9"/>
        <v>1.0596398565641903E-2</v>
      </c>
      <c r="H89">
        <f t="shared" si="10"/>
        <v>0.35725786057014375</v>
      </c>
      <c r="I89">
        <f t="shared" si="11"/>
        <v>33.357768839966127</v>
      </c>
      <c r="J89" t="b">
        <f t="shared" si="12"/>
        <v>1</v>
      </c>
      <c r="K89">
        <f t="shared" si="13"/>
        <v>3543</v>
      </c>
    </row>
    <row r="90" spans="1:11" x14ac:dyDescent="0.3">
      <c r="A90" t="s">
        <v>56</v>
      </c>
      <c r="B90">
        <v>276174.76929999999</v>
      </c>
      <c r="C90">
        <v>271550.89559999999</v>
      </c>
      <c r="D90">
        <v>8130</v>
      </c>
      <c r="E90">
        <f t="shared" si="7"/>
        <v>33.96983632226322</v>
      </c>
      <c r="F90">
        <f t="shared" si="8"/>
        <v>4623.8736999999965</v>
      </c>
      <c r="G90">
        <f t="shared" si="9"/>
        <v>1.6742563818265482E-2</v>
      </c>
      <c r="H90">
        <f t="shared" si="10"/>
        <v>0.56874215252152283</v>
      </c>
      <c r="I90">
        <f t="shared" si="11"/>
        <v>33.401094169741697</v>
      </c>
      <c r="J90" t="b">
        <f t="shared" si="12"/>
        <v>1</v>
      </c>
      <c r="K90">
        <f t="shared" si="13"/>
        <v>8130</v>
      </c>
    </row>
    <row r="91" spans="1:11" x14ac:dyDescent="0.3">
      <c r="A91" t="s">
        <v>57</v>
      </c>
      <c r="B91">
        <v>357369.26689999999</v>
      </c>
      <c r="C91">
        <v>352250.83010000002</v>
      </c>
      <c r="D91">
        <v>10518</v>
      </c>
      <c r="E91">
        <f t="shared" si="7"/>
        <v>33.976922123977943</v>
      </c>
      <c r="F91">
        <f t="shared" si="8"/>
        <v>5118.4367999999668</v>
      </c>
      <c r="G91">
        <f t="shared" si="9"/>
        <v>1.4322543302057985E-2</v>
      </c>
      <c r="H91">
        <f t="shared" si="10"/>
        <v>0.48663593839133057</v>
      </c>
      <c r="I91">
        <f t="shared" si="11"/>
        <v>33.490286185586612</v>
      </c>
      <c r="J91" t="b">
        <f t="shared" si="12"/>
        <v>1</v>
      </c>
      <c r="K91">
        <f t="shared" si="13"/>
        <v>10518</v>
      </c>
    </row>
    <row r="92" spans="1:11" x14ac:dyDescent="0.3">
      <c r="A92" t="s">
        <v>58</v>
      </c>
      <c r="B92">
        <v>163865.4903</v>
      </c>
      <c r="C92">
        <v>160525.42689999999</v>
      </c>
      <c r="D92">
        <v>4791</v>
      </c>
      <c r="E92">
        <f t="shared" si="7"/>
        <v>34.20277401377583</v>
      </c>
      <c r="F92">
        <f t="shared" si="8"/>
        <v>3340.0634000000136</v>
      </c>
      <c r="G92">
        <f t="shared" si="9"/>
        <v>2.0382957960734294E-2</v>
      </c>
      <c r="H92">
        <f t="shared" si="10"/>
        <v>0.69715370486328965</v>
      </c>
      <c r="I92">
        <f t="shared" si="11"/>
        <v>33.50562030891254</v>
      </c>
      <c r="J92" t="b">
        <f t="shared" si="12"/>
        <v>1</v>
      </c>
      <c r="K92">
        <f t="shared" si="13"/>
        <v>4791</v>
      </c>
    </row>
    <row r="93" spans="1:11" x14ac:dyDescent="0.3">
      <c r="A93" t="s">
        <v>59</v>
      </c>
      <c r="B93">
        <v>190719.6145</v>
      </c>
      <c r="C93">
        <v>187072.59520000001</v>
      </c>
      <c r="D93">
        <v>5583</v>
      </c>
      <c r="E93">
        <f t="shared" si="7"/>
        <v>34.160776374708938</v>
      </c>
      <c r="F93">
        <f t="shared" si="8"/>
        <v>3647.0192999999854</v>
      </c>
      <c r="G93">
        <f t="shared" si="9"/>
        <v>1.9122413337302469E-2</v>
      </c>
      <c r="H93">
        <f t="shared" si="10"/>
        <v>0.65323648576034543</v>
      </c>
      <c r="I93">
        <f t="shared" si="11"/>
        <v>33.507539888948592</v>
      </c>
      <c r="J93" t="b">
        <f t="shared" si="12"/>
        <v>1</v>
      </c>
      <c r="K93">
        <f t="shared" si="13"/>
        <v>5583</v>
      </c>
    </row>
    <row r="94" spans="1:11" x14ac:dyDescent="0.3">
      <c r="A94" s="1">
        <v>41643</v>
      </c>
      <c r="B94">
        <v>244535.2052</v>
      </c>
      <c r="C94">
        <v>239700.68479999999</v>
      </c>
      <c r="D94">
        <v>7155</v>
      </c>
      <c r="E94">
        <f t="shared" si="7"/>
        <v>34.176828120195665</v>
      </c>
      <c r="F94">
        <f t="shared" si="8"/>
        <v>4834.5204000000085</v>
      </c>
      <c r="G94">
        <f t="shared" si="9"/>
        <v>1.9770242881984867E-2</v>
      </c>
      <c r="H94">
        <f t="shared" si="10"/>
        <v>0.67568419287211867</v>
      </c>
      <c r="I94">
        <f t="shared" si="11"/>
        <v>33.501143927323547</v>
      </c>
      <c r="J94" t="b">
        <f t="shared" si="12"/>
        <v>1</v>
      </c>
      <c r="K94">
        <f t="shared" si="13"/>
        <v>7155</v>
      </c>
    </row>
    <row r="95" spans="1:11" x14ac:dyDescent="0.3">
      <c r="A95" s="1">
        <v>41674</v>
      </c>
      <c r="B95">
        <v>155620.50380000001</v>
      </c>
      <c r="C95">
        <v>153366.01879999999</v>
      </c>
      <c r="D95">
        <v>4575</v>
      </c>
      <c r="E95">
        <f t="shared" si="7"/>
        <v>34.015410666666668</v>
      </c>
      <c r="F95">
        <f t="shared" si="8"/>
        <v>2254.4850000000151</v>
      </c>
      <c r="G95">
        <f t="shared" si="9"/>
        <v>1.4487069151873644E-2</v>
      </c>
      <c r="H95">
        <f t="shared" si="10"/>
        <v>0.4927836065573814</v>
      </c>
      <c r="I95">
        <f t="shared" si="11"/>
        <v>33.522627060109286</v>
      </c>
      <c r="J95" t="b">
        <f t="shared" si="12"/>
        <v>1</v>
      </c>
      <c r="K95">
        <f t="shared" si="13"/>
        <v>4575</v>
      </c>
    </row>
    <row r="96" spans="1:11" x14ac:dyDescent="0.3">
      <c r="A96" s="1">
        <v>41702</v>
      </c>
      <c r="B96">
        <v>136001.97820000001</v>
      </c>
      <c r="C96">
        <v>134523.0686</v>
      </c>
      <c r="D96">
        <v>3997</v>
      </c>
      <c r="E96">
        <f t="shared" si="7"/>
        <v>34.026014060545414</v>
      </c>
      <c r="F96">
        <f t="shared" si="8"/>
        <v>1478.9096000000136</v>
      </c>
      <c r="G96">
        <f t="shared" si="9"/>
        <v>1.087417712281492E-2</v>
      </c>
      <c r="H96">
        <f t="shared" si="10"/>
        <v>0.37000490367776706</v>
      </c>
      <c r="I96">
        <f t="shared" si="11"/>
        <v>33.656009156867647</v>
      </c>
      <c r="J96" t="b">
        <f t="shared" si="12"/>
        <v>1</v>
      </c>
      <c r="K96">
        <f t="shared" si="13"/>
        <v>3997</v>
      </c>
    </row>
    <row r="97" spans="1:11" x14ac:dyDescent="0.3">
      <c r="A97" s="1">
        <v>41733</v>
      </c>
      <c r="B97">
        <v>190559.88750000001</v>
      </c>
      <c r="C97">
        <v>187742.3</v>
      </c>
      <c r="D97">
        <v>5558</v>
      </c>
      <c r="E97">
        <f t="shared" si="7"/>
        <v>34.285694044620371</v>
      </c>
      <c r="F97">
        <f t="shared" si="8"/>
        <v>2817.5875000000233</v>
      </c>
      <c r="G97">
        <f t="shared" si="9"/>
        <v>1.4785837339455939E-2</v>
      </c>
      <c r="H97">
        <f t="shared" si="10"/>
        <v>0.50694269521411428</v>
      </c>
      <c r="I97">
        <f t="shared" si="11"/>
        <v>33.778751349406257</v>
      </c>
      <c r="J97" t="b">
        <f t="shared" si="12"/>
        <v>1</v>
      </c>
      <c r="K97">
        <f t="shared" si="13"/>
        <v>5558</v>
      </c>
    </row>
    <row r="98" spans="1:11" x14ac:dyDescent="0.3">
      <c r="A98" s="1">
        <v>41763</v>
      </c>
      <c r="B98">
        <v>217110.5025</v>
      </c>
      <c r="C98">
        <v>213540.73420000001</v>
      </c>
      <c r="D98">
        <v>6320</v>
      </c>
      <c r="E98">
        <f t="shared" si="7"/>
        <v>34.352927610759494</v>
      </c>
      <c r="F98">
        <f t="shared" si="8"/>
        <v>3569.7682999999961</v>
      </c>
      <c r="G98">
        <f t="shared" si="9"/>
        <v>1.6442172344932948E-2</v>
      </c>
      <c r="H98">
        <f t="shared" si="10"/>
        <v>0.56483675632911456</v>
      </c>
      <c r="I98">
        <f t="shared" si="11"/>
        <v>33.788090854430379</v>
      </c>
      <c r="J98" t="b">
        <f t="shared" si="12"/>
        <v>1</v>
      </c>
      <c r="K98">
        <f t="shared" si="13"/>
        <v>6320</v>
      </c>
    </row>
    <row r="99" spans="1:11" x14ac:dyDescent="0.3">
      <c r="A99" s="1">
        <v>41794</v>
      </c>
      <c r="B99">
        <v>119190.1</v>
      </c>
      <c r="C99">
        <v>116856.3146</v>
      </c>
      <c r="D99">
        <v>3447</v>
      </c>
      <c r="E99">
        <f t="shared" si="7"/>
        <v>34.577922831447637</v>
      </c>
      <c r="F99">
        <f t="shared" si="8"/>
        <v>2333.7854000000079</v>
      </c>
      <c r="G99">
        <f t="shared" si="9"/>
        <v>1.9580362798588203E-2</v>
      </c>
      <c r="H99">
        <f t="shared" si="10"/>
        <v>0.67704827386133104</v>
      </c>
      <c r="I99">
        <f t="shared" si="11"/>
        <v>33.900874557586306</v>
      </c>
      <c r="J99" t="b">
        <f t="shared" si="12"/>
        <v>1</v>
      </c>
      <c r="K99">
        <f t="shared" si="13"/>
        <v>3447</v>
      </c>
    </row>
    <row r="100" spans="1:11" x14ac:dyDescent="0.3">
      <c r="A100" s="1">
        <v>41824</v>
      </c>
      <c r="B100">
        <v>131910.19750000001</v>
      </c>
      <c r="C100">
        <v>130784.44469999999</v>
      </c>
      <c r="D100">
        <v>3854</v>
      </c>
      <c r="E100">
        <f t="shared" si="7"/>
        <v>34.226828619615986</v>
      </c>
      <c r="F100">
        <f t="shared" si="8"/>
        <v>1125.7528000000166</v>
      </c>
      <c r="G100">
        <f t="shared" si="9"/>
        <v>8.5342363315013339E-3</v>
      </c>
      <c r="H100">
        <f t="shared" si="10"/>
        <v>0.2920998443175975</v>
      </c>
      <c r="I100">
        <f t="shared" si="11"/>
        <v>33.934728775298389</v>
      </c>
      <c r="J100" t="b">
        <f t="shared" si="12"/>
        <v>1</v>
      </c>
      <c r="K100">
        <f t="shared" si="13"/>
        <v>3854</v>
      </c>
    </row>
    <row r="101" spans="1:11" x14ac:dyDescent="0.3">
      <c r="A101" s="1">
        <v>41855</v>
      </c>
      <c r="B101">
        <v>118921.3077</v>
      </c>
      <c r="C101">
        <v>115305.8052</v>
      </c>
      <c r="D101">
        <v>3394</v>
      </c>
      <c r="E101">
        <f t="shared" si="7"/>
        <v>35.038688185032413</v>
      </c>
      <c r="F101">
        <f t="shared" si="8"/>
        <v>3615.5025000000023</v>
      </c>
      <c r="G101">
        <f t="shared" si="9"/>
        <v>3.0402478495449661E-2</v>
      </c>
      <c r="H101">
        <f t="shared" si="10"/>
        <v>1.0652629640542131</v>
      </c>
      <c r="I101">
        <f t="shared" si="11"/>
        <v>33.9734252209782</v>
      </c>
      <c r="J101" t="b">
        <f t="shared" si="12"/>
        <v>1</v>
      </c>
      <c r="K101">
        <f t="shared" si="13"/>
        <v>3394</v>
      </c>
    </row>
    <row r="102" spans="1:11" x14ac:dyDescent="0.3">
      <c r="A102" s="1">
        <v>41886</v>
      </c>
      <c r="B102">
        <v>124828.2828</v>
      </c>
      <c r="C102">
        <v>121264.7031</v>
      </c>
      <c r="D102">
        <v>3563</v>
      </c>
      <c r="E102">
        <f t="shared" si="7"/>
        <v>35.034600841987093</v>
      </c>
      <c r="F102">
        <f t="shared" si="8"/>
        <v>3563.579700000002</v>
      </c>
      <c r="G102">
        <f t="shared" si="9"/>
        <v>2.8547854861622771E-2</v>
      </c>
      <c r="H102">
        <f t="shared" si="10"/>
        <v>1.0001626999719377</v>
      </c>
      <c r="I102">
        <f t="shared" si="11"/>
        <v>34.034438142015155</v>
      </c>
      <c r="J102" t="b">
        <f t="shared" si="12"/>
        <v>1</v>
      </c>
      <c r="K102">
        <f t="shared" si="13"/>
        <v>3563</v>
      </c>
    </row>
    <row r="103" spans="1:11" x14ac:dyDescent="0.3">
      <c r="A103" s="1">
        <v>41916</v>
      </c>
      <c r="B103">
        <v>179326.4902</v>
      </c>
      <c r="C103">
        <v>183278.5024</v>
      </c>
      <c r="D103">
        <v>5380</v>
      </c>
      <c r="E103">
        <f t="shared" si="7"/>
        <v>33.332061375464683</v>
      </c>
      <c r="F103">
        <f t="shared" si="8"/>
        <v>-3952.0121999999974</v>
      </c>
      <c r="G103">
        <f t="shared" si="9"/>
        <v>-2.2038083696348378E-2</v>
      </c>
      <c r="H103">
        <f t="shared" si="10"/>
        <v>-0.7345747583643103</v>
      </c>
      <c r="I103">
        <f t="shared" si="11"/>
        <v>34.066636133828993</v>
      </c>
      <c r="J103" t="b">
        <f t="shared" si="12"/>
        <v>0</v>
      </c>
      <c r="K103">
        <f t="shared" si="13"/>
        <v>5380</v>
      </c>
    </row>
    <row r="104" spans="1:11" x14ac:dyDescent="0.3">
      <c r="A104" s="1">
        <v>41947</v>
      </c>
      <c r="B104">
        <v>318949.81709999999</v>
      </c>
      <c r="C104">
        <v>326322.52600000001</v>
      </c>
      <c r="D104">
        <v>9573</v>
      </c>
      <c r="E104">
        <f t="shared" si="7"/>
        <v>33.317645158257598</v>
      </c>
      <c r="F104">
        <f t="shared" si="8"/>
        <v>-7372.7089000000269</v>
      </c>
      <c r="G104">
        <f t="shared" si="9"/>
        <v>-2.3115576509919959E-2</v>
      </c>
      <c r="H104">
        <f t="shared" si="10"/>
        <v>-0.77015657578606778</v>
      </c>
      <c r="I104">
        <f t="shared" si="11"/>
        <v>34.087801734043666</v>
      </c>
      <c r="J104" t="b">
        <f t="shared" si="12"/>
        <v>0</v>
      </c>
      <c r="K104">
        <f t="shared" si="13"/>
        <v>9573</v>
      </c>
    </row>
    <row r="105" spans="1:11" x14ac:dyDescent="0.3">
      <c r="A105" s="1">
        <v>41977</v>
      </c>
      <c r="B105">
        <v>375031.10930000001</v>
      </c>
      <c r="C105">
        <v>383727.19400000002</v>
      </c>
      <c r="D105">
        <v>11250</v>
      </c>
      <c r="E105">
        <f t="shared" si="7"/>
        <v>33.336098604444445</v>
      </c>
      <c r="F105">
        <f t="shared" si="8"/>
        <v>-8696.0847000000067</v>
      </c>
      <c r="G105">
        <f t="shared" si="9"/>
        <v>-2.3187635597034472E-2</v>
      </c>
      <c r="H105">
        <f t="shared" si="10"/>
        <v>-0.7729853066666692</v>
      </c>
      <c r="I105">
        <f t="shared" si="11"/>
        <v>34.109083911111114</v>
      </c>
      <c r="J105" t="b">
        <f t="shared" si="12"/>
        <v>0</v>
      </c>
      <c r="K105">
        <f t="shared" si="13"/>
        <v>11250</v>
      </c>
    </row>
    <row r="106" spans="1:11" x14ac:dyDescent="0.3">
      <c r="A106" t="s">
        <v>60</v>
      </c>
      <c r="B106">
        <v>166393.54070000001</v>
      </c>
      <c r="C106">
        <v>170061.86410000001</v>
      </c>
      <c r="D106">
        <v>4990</v>
      </c>
      <c r="E106">
        <f t="shared" si="7"/>
        <v>33.345398937875757</v>
      </c>
      <c r="F106">
        <f t="shared" si="8"/>
        <v>-3668.3233999999939</v>
      </c>
      <c r="G106">
        <f t="shared" si="9"/>
        <v>-2.2046068522658665E-2</v>
      </c>
      <c r="H106">
        <f t="shared" si="10"/>
        <v>-0.73513494989979478</v>
      </c>
      <c r="I106">
        <f t="shared" si="11"/>
        <v>34.080533887775552</v>
      </c>
      <c r="J106" t="b">
        <f t="shared" si="12"/>
        <v>0</v>
      </c>
      <c r="K106">
        <f t="shared" si="13"/>
        <v>4990</v>
      </c>
    </row>
    <row r="107" spans="1:11" x14ac:dyDescent="0.3">
      <c r="A107" t="s">
        <v>61</v>
      </c>
      <c r="B107">
        <v>193652.3278</v>
      </c>
      <c r="C107">
        <v>198212.0687</v>
      </c>
      <c r="D107">
        <v>5810</v>
      </c>
      <c r="E107">
        <f t="shared" si="7"/>
        <v>33.330865370051633</v>
      </c>
      <c r="F107">
        <f t="shared" si="8"/>
        <v>-4559.7409000000043</v>
      </c>
      <c r="G107">
        <f t="shared" si="9"/>
        <v>-2.3546016470864257E-2</v>
      </c>
      <c r="H107">
        <f t="shared" si="10"/>
        <v>-0.78480910499139611</v>
      </c>
      <c r="I107">
        <f t="shared" si="11"/>
        <v>34.115674475043029</v>
      </c>
      <c r="J107" t="b">
        <f t="shared" si="12"/>
        <v>0</v>
      </c>
      <c r="K107">
        <f t="shared" si="13"/>
        <v>5810</v>
      </c>
    </row>
    <row r="108" spans="1:11" x14ac:dyDescent="0.3">
      <c r="A108" t="s">
        <v>62</v>
      </c>
      <c r="B108">
        <v>249805.5172</v>
      </c>
      <c r="C108">
        <v>255956.65400000001</v>
      </c>
      <c r="D108">
        <v>7497</v>
      </c>
      <c r="E108">
        <f t="shared" si="7"/>
        <v>33.32073058556756</v>
      </c>
      <c r="F108">
        <f t="shared" si="8"/>
        <v>-6151.1368000000075</v>
      </c>
      <c r="G108">
        <f t="shared" si="9"/>
        <v>-2.4623702746626158E-2</v>
      </c>
      <c r="H108">
        <f t="shared" si="10"/>
        <v>-0.82047976523943333</v>
      </c>
      <c r="I108">
        <f t="shared" si="11"/>
        <v>34.141210350806993</v>
      </c>
      <c r="J108" t="b">
        <f t="shared" si="12"/>
        <v>0</v>
      </c>
      <c r="K108">
        <f t="shared" si="13"/>
        <v>7497</v>
      </c>
    </row>
    <row r="109" spans="1:11" x14ac:dyDescent="0.3">
      <c r="A109" t="s">
        <v>63</v>
      </c>
      <c r="B109">
        <v>294023.41090000002</v>
      </c>
      <c r="C109">
        <v>301522.35230000003</v>
      </c>
      <c r="D109">
        <v>8821</v>
      </c>
      <c r="E109">
        <f t="shared" si="7"/>
        <v>33.332208468427616</v>
      </c>
      <c r="F109">
        <f t="shared" si="8"/>
        <v>-7498.9414000000106</v>
      </c>
      <c r="G109">
        <f t="shared" si="9"/>
        <v>-2.5504572500012482E-2</v>
      </c>
      <c r="H109">
        <f t="shared" si="10"/>
        <v>-0.85012372746854226</v>
      </c>
      <c r="I109">
        <f t="shared" si="11"/>
        <v>34.182332195896159</v>
      </c>
      <c r="J109" t="b">
        <f t="shared" si="12"/>
        <v>0</v>
      </c>
      <c r="K109">
        <f t="shared" si="13"/>
        <v>8821</v>
      </c>
    </row>
    <row r="110" spans="1:11" x14ac:dyDescent="0.3">
      <c r="A110" t="s">
        <v>64</v>
      </c>
      <c r="B110">
        <v>612236.00580000004</v>
      </c>
      <c r="C110">
        <v>627927.75870000001</v>
      </c>
      <c r="D110">
        <v>18366</v>
      </c>
      <c r="E110">
        <f t="shared" si="7"/>
        <v>33.335293792878147</v>
      </c>
      <c r="F110">
        <f t="shared" si="8"/>
        <v>-15691.752899999963</v>
      </c>
      <c r="G110">
        <f t="shared" si="9"/>
        <v>-2.5630235319949492E-2</v>
      </c>
      <c r="H110">
        <f t="shared" si="10"/>
        <v>-0.8543914243711157</v>
      </c>
      <c r="I110">
        <f t="shared" si="11"/>
        <v>34.189685217249263</v>
      </c>
      <c r="J110" t="b">
        <f t="shared" si="12"/>
        <v>0</v>
      </c>
      <c r="K110">
        <f t="shared" si="13"/>
        <v>18366</v>
      </c>
    </row>
    <row r="111" spans="1:11" x14ac:dyDescent="0.3">
      <c r="A111" t="s">
        <v>65</v>
      </c>
      <c r="B111">
        <v>464815.51789999998</v>
      </c>
      <c r="C111">
        <v>476692.54369999998</v>
      </c>
      <c r="D111">
        <v>13940</v>
      </c>
      <c r="E111">
        <f t="shared" si="7"/>
        <v>33.344011327116213</v>
      </c>
      <c r="F111">
        <f t="shared" si="8"/>
        <v>-11877.025800000003</v>
      </c>
      <c r="G111">
        <f t="shared" si="9"/>
        <v>-2.5552128409265407E-2</v>
      </c>
      <c r="H111">
        <f t="shared" si="10"/>
        <v>-0.85201045911047402</v>
      </c>
      <c r="I111">
        <f t="shared" si="11"/>
        <v>34.196021786226687</v>
      </c>
      <c r="J111" t="b">
        <f t="shared" si="12"/>
        <v>0</v>
      </c>
      <c r="K111">
        <f t="shared" si="13"/>
        <v>13940</v>
      </c>
    </row>
    <row r="112" spans="1:11" x14ac:dyDescent="0.3">
      <c r="A112" t="s">
        <v>66</v>
      </c>
      <c r="B112">
        <v>360480.94040000002</v>
      </c>
      <c r="C112">
        <v>369765.6128</v>
      </c>
      <c r="D112">
        <v>10814</v>
      </c>
      <c r="E112">
        <f t="shared" si="7"/>
        <v>33.334653264287034</v>
      </c>
      <c r="F112">
        <f t="shared" si="8"/>
        <v>-9284.6723999999813</v>
      </c>
      <c r="G112">
        <f t="shared" si="9"/>
        <v>-2.5756347588578307E-2</v>
      </c>
      <c r="H112">
        <f t="shared" si="10"/>
        <v>-0.85857891621971305</v>
      </c>
      <c r="I112">
        <f t="shared" si="11"/>
        <v>34.193232180506747</v>
      </c>
      <c r="J112" t="b">
        <f t="shared" si="12"/>
        <v>0</v>
      </c>
      <c r="K112">
        <f t="shared" si="13"/>
        <v>10814</v>
      </c>
    </row>
    <row r="113" spans="1:11" x14ac:dyDescent="0.3">
      <c r="A113" t="s">
        <v>67</v>
      </c>
      <c r="B113">
        <v>114279.5773</v>
      </c>
      <c r="C113">
        <v>117190.8262</v>
      </c>
      <c r="D113">
        <v>3429</v>
      </c>
      <c r="E113">
        <f t="shared" si="7"/>
        <v>33.327377456984543</v>
      </c>
      <c r="F113">
        <f t="shared" si="8"/>
        <v>-2911.2488999999914</v>
      </c>
      <c r="G113">
        <f t="shared" si="9"/>
        <v>-2.5474795836508499E-2</v>
      </c>
      <c r="H113">
        <f t="shared" si="10"/>
        <v>-0.84900813648293649</v>
      </c>
      <c r="I113">
        <f t="shared" si="11"/>
        <v>34.176385593467479</v>
      </c>
      <c r="J113" t="b">
        <f t="shared" si="12"/>
        <v>0</v>
      </c>
      <c r="K113">
        <f t="shared" si="13"/>
        <v>3429</v>
      </c>
    </row>
    <row r="114" spans="1:11" x14ac:dyDescent="0.3">
      <c r="A114" t="s">
        <v>68</v>
      </c>
      <c r="B114">
        <v>161170.8204</v>
      </c>
      <c r="C114">
        <v>165415.08379999999</v>
      </c>
      <c r="D114">
        <v>4834</v>
      </c>
      <c r="E114">
        <f t="shared" si="7"/>
        <v>33.341088208522962</v>
      </c>
      <c r="F114">
        <f t="shared" si="8"/>
        <v>-4244.2633999999962</v>
      </c>
      <c r="G114">
        <f t="shared" si="9"/>
        <v>-2.6333944255333679E-2</v>
      </c>
      <c r="H114">
        <f t="shared" si="10"/>
        <v>-0.87800235829540441</v>
      </c>
      <c r="I114">
        <f t="shared" si="11"/>
        <v>34.219090566818366</v>
      </c>
      <c r="J114" t="b">
        <f t="shared" si="12"/>
        <v>0</v>
      </c>
      <c r="K114">
        <f t="shared" si="13"/>
        <v>4834</v>
      </c>
    </row>
    <row r="115" spans="1:11" x14ac:dyDescent="0.3">
      <c r="A115" t="s">
        <v>69</v>
      </c>
      <c r="B115">
        <v>182483.1465</v>
      </c>
      <c r="C115">
        <v>187344.7372</v>
      </c>
      <c r="D115">
        <v>5475</v>
      </c>
      <c r="E115">
        <f t="shared" si="7"/>
        <v>33.330255068493152</v>
      </c>
      <c r="F115">
        <f t="shared" si="8"/>
        <v>-4861.5907000000007</v>
      </c>
      <c r="G115">
        <f t="shared" si="9"/>
        <v>-2.6641313421236962E-2</v>
      </c>
      <c r="H115">
        <f t="shared" si="10"/>
        <v>-0.88796177168949697</v>
      </c>
      <c r="I115">
        <f t="shared" si="11"/>
        <v>34.218216840182649</v>
      </c>
      <c r="J115" t="b">
        <f t="shared" si="12"/>
        <v>0</v>
      </c>
      <c r="K115">
        <f t="shared" si="13"/>
        <v>5475</v>
      </c>
    </row>
    <row r="116" spans="1:11" x14ac:dyDescent="0.3">
      <c r="A116" t="s">
        <v>70</v>
      </c>
      <c r="B116">
        <v>109358.41250000001</v>
      </c>
      <c r="C116">
        <v>106849.8988</v>
      </c>
      <c r="D116">
        <v>3121</v>
      </c>
      <c r="E116">
        <f t="shared" si="7"/>
        <v>35.039542614546619</v>
      </c>
      <c r="F116">
        <f t="shared" si="8"/>
        <v>2508.5137000000104</v>
      </c>
      <c r="G116">
        <f t="shared" si="9"/>
        <v>2.2938461181484418E-2</v>
      </c>
      <c r="H116">
        <f t="shared" si="10"/>
        <v>0.8037531880807407</v>
      </c>
      <c r="I116">
        <f t="shared" si="11"/>
        <v>34.235789426465878</v>
      </c>
      <c r="J116" t="b">
        <f t="shared" si="12"/>
        <v>1</v>
      </c>
      <c r="K116">
        <f t="shared" si="13"/>
        <v>3121</v>
      </c>
    </row>
    <row r="117" spans="1:11" x14ac:dyDescent="0.3">
      <c r="A117" t="s">
        <v>71</v>
      </c>
      <c r="B117">
        <v>98430.114109999995</v>
      </c>
      <c r="C117">
        <v>96197.482229999994</v>
      </c>
      <c r="D117">
        <v>2809</v>
      </c>
      <c r="E117">
        <f t="shared" si="7"/>
        <v>35.040980459238163</v>
      </c>
      <c r="F117">
        <f t="shared" si="8"/>
        <v>2232.6318800000008</v>
      </c>
      <c r="G117">
        <f t="shared" si="9"/>
        <v>2.268240670233234E-2</v>
      </c>
      <c r="H117">
        <f t="shared" si="10"/>
        <v>0.79481377002492337</v>
      </c>
      <c r="I117">
        <f t="shared" si="11"/>
        <v>34.24616668921324</v>
      </c>
      <c r="J117" t="b">
        <f t="shared" si="12"/>
        <v>1</v>
      </c>
      <c r="K117">
        <f t="shared" si="13"/>
        <v>2809</v>
      </c>
    </row>
    <row r="118" spans="1:11" x14ac:dyDescent="0.3">
      <c r="A118" t="s">
        <v>72</v>
      </c>
      <c r="B118">
        <v>295741.34700000001</v>
      </c>
      <c r="C118">
        <v>292327.02830000001</v>
      </c>
      <c r="D118">
        <v>8537</v>
      </c>
      <c r="E118">
        <f t="shared" si="7"/>
        <v>34.64230373667565</v>
      </c>
      <c r="F118">
        <f t="shared" si="8"/>
        <v>3414.3187000000034</v>
      </c>
      <c r="G118">
        <f t="shared" si="9"/>
        <v>1.1544948769033649E-2</v>
      </c>
      <c r="H118">
        <f t="shared" si="10"/>
        <v>0.39994362188122778</v>
      </c>
      <c r="I118">
        <f t="shared" si="11"/>
        <v>34.242360114794423</v>
      </c>
      <c r="J118" t="b">
        <f t="shared" si="12"/>
        <v>1</v>
      </c>
      <c r="K118">
        <f t="shared" si="13"/>
        <v>8537</v>
      </c>
    </row>
    <row r="119" spans="1:11" x14ac:dyDescent="0.3">
      <c r="A119" t="s">
        <v>73</v>
      </c>
      <c r="B119">
        <v>285053.97989999998</v>
      </c>
      <c r="C119">
        <v>281159.58110000001</v>
      </c>
      <c r="D119">
        <v>8209</v>
      </c>
      <c r="E119">
        <f t="shared" si="7"/>
        <v>34.724568144719207</v>
      </c>
      <c r="F119">
        <f t="shared" si="8"/>
        <v>3894.3987999999663</v>
      </c>
      <c r="G119">
        <f t="shared" si="9"/>
        <v>1.3661969572802189E-2</v>
      </c>
      <c r="H119">
        <f t="shared" si="10"/>
        <v>0.47440599342184697</v>
      </c>
      <c r="I119">
        <f t="shared" si="11"/>
        <v>34.25016215129736</v>
      </c>
      <c r="J119" t="b">
        <f t="shared" si="12"/>
        <v>1</v>
      </c>
      <c r="K119">
        <f t="shared" si="13"/>
        <v>8209</v>
      </c>
    </row>
    <row r="120" spans="1:11" x14ac:dyDescent="0.3">
      <c r="A120" t="s">
        <v>74</v>
      </c>
      <c r="B120">
        <v>124964.7965</v>
      </c>
      <c r="C120">
        <v>123042.159</v>
      </c>
      <c r="D120">
        <v>3592</v>
      </c>
      <c r="E120">
        <f t="shared" si="7"/>
        <v>34.789754036748327</v>
      </c>
      <c r="F120">
        <f t="shared" si="8"/>
        <v>1922.6374999999971</v>
      </c>
      <c r="G120">
        <f t="shared" si="9"/>
        <v>1.5385432968716091E-2</v>
      </c>
      <c r="H120">
        <f t="shared" si="10"/>
        <v>0.53525542873050824</v>
      </c>
      <c r="I120">
        <f t="shared" si="11"/>
        <v>34.254498608017819</v>
      </c>
      <c r="J120" t="b">
        <f t="shared" si="12"/>
        <v>1</v>
      </c>
      <c r="K120">
        <f t="shared" si="13"/>
        <v>3592</v>
      </c>
    </row>
    <row r="121" spans="1:11" x14ac:dyDescent="0.3">
      <c r="A121" t="s">
        <v>75</v>
      </c>
      <c r="B121">
        <v>124175.80839999999</v>
      </c>
      <c r="C121">
        <v>122516.06570000001</v>
      </c>
      <c r="D121">
        <v>3576</v>
      </c>
      <c r="E121">
        <f t="shared" si="7"/>
        <v>34.724778635346752</v>
      </c>
      <c r="F121">
        <f t="shared" si="8"/>
        <v>1659.742699999988</v>
      </c>
      <c r="G121">
        <f t="shared" si="9"/>
        <v>1.336607122905582E-2</v>
      </c>
      <c r="H121">
        <f t="shared" si="10"/>
        <v>0.4641338646532347</v>
      </c>
      <c r="I121">
        <f t="shared" si="11"/>
        <v>34.260644770693517</v>
      </c>
      <c r="J121" t="b">
        <f t="shared" si="12"/>
        <v>1</v>
      </c>
      <c r="K121">
        <f t="shared" si="13"/>
        <v>3576</v>
      </c>
    </row>
    <row r="122" spans="1:11" x14ac:dyDescent="0.3">
      <c r="A122" t="s">
        <v>76</v>
      </c>
      <c r="B122">
        <v>131842.5716</v>
      </c>
      <c r="C122">
        <v>130405.26390000001</v>
      </c>
      <c r="D122">
        <v>3807</v>
      </c>
      <c r="E122">
        <f t="shared" si="7"/>
        <v>34.631618492251114</v>
      </c>
      <c r="F122">
        <f t="shared" si="8"/>
        <v>1437.3076999999903</v>
      </c>
      <c r="G122">
        <f t="shared" si="9"/>
        <v>1.0901696489663968E-2</v>
      </c>
      <c r="H122">
        <f t="shared" si="10"/>
        <v>0.37754339374835411</v>
      </c>
      <c r="I122">
        <f t="shared" si="11"/>
        <v>34.25407509850276</v>
      </c>
      <c r="J122" t="b">
        <f t="shared" si="12"/>
        <v>1</v>
      </c>
      <c r="K122">
        <f t="shared" si="13"/>
        <v>3807</v>
      </c>
    </row>
    <row r="123" spans="1:11" x14ac:dyDescent="0.3">
      <c r="A123" t="s">
        <v>77</v>
      </c>
      <c r="B123">
        <v>154850.05729999999</v>
      </c>
      <c r="C123">
        <v>150644.34820000001</v>
      </c>
      <c r="D123">
        <v>4398</v>
      </c>
      <c r="E123">
        <f t="shared" si="7"/>
        <v>35.209199022282853</v>
      </c>
      <c r="F123">
        <f t="shared" si="8"/>
        <v>4205.7090999999782</v>
      </c>
      <c r="G123">
        <f t="shared" si="9"/>
        <v>2.7159880812003927E-2</v>
      </c>
      <c r="H123">
        <f t="shared" si="10"/>
        <v>0.9562776489313265</v>
      </c>
      <c r="I123">
        <f t="shared" si="11"/>
        <v>34.252921373351526</v>
      </c>
      <c r="J123" t="b">
        <f t="shared" si="12"/>
        <v>1</v>
      </c>
      <c r="K123">
        <f t="shared" si="13"/>
        <v>4398</v>
      </c>
    </row>
    <row r="124" spans="1:11" x14ac:dyDescent="0.3">
      <c r="A124" s="1">
        <v>41644</v>
      </c>
      <c r="B124">
        <v>180294.26869999999</v>
      </c>
      <c r="C124">
        <v>175656.65040000001</v>
      </c>
      <c r="D124">
        <v>5124</v>
      </c>
      <c r="E124">
        <f t="shared" si="7"/>
        <v>35.186235109289612</v>
      </c>
      <c r="F124">
        <f t="shared" si="8"/>
        <v>4637.6182999999728</v>
      </c>
      <c r="G124">
        <f t="shared" si="9"/>
        <v>2.5722494305776972E-2</v>
      </c>
      <c r="H124">
        <f t="shared" si="10"/>
        <v>0.90507773224042865</v>
      </c>
      <c r="I124">
        <f t="shared" si="11"/>
        <v>34.281157377049183</v>
      </c>
      <c r="J124" t="b">
        <f t="shared" si="12"/>
        <v>1</v>
      </c>
      <c r="K124">
        <f t="shared" si="13"/>
        <v>5124</v>
      </c>
    </row>
    <row r="125" spans="1:11" x14ac:dyDescent="0.3">
      <c r="A125" s="1">
        <v>41675</v>
      </c>
      <c r="B125">
        <v>163849.03580000001</v>
      </c>
      <c r="C125">
        <v>157300.6256</v>
      </c>
      <c r="D125">
        <v>4581</v>
      </c>
      <c r="E125">
        <f t="shared" si="7"/>
        <v>35.76708923815761</v>
      </c>
      <c r="F125">
        <f t="shared" si="8"/>
        <v>6548.410200000013</v>
      </c>
      <c r="G125">
        <f t="shared" si="9"/>
        <v>3.9966119837246017E-2</v>
      </c>
      <c r="H125">
        <f t="shared" si="10"/>
        <v>1.4294717747216765</v>
      </c>
      <c r="I125">
        <f t="shared" si="11"/>
        <v>34.337617463435933</v>
      </c>
      <c r="J125" t="b">
        <f t="shared" si="12"/>
        <v>1</v>
      </c>
      <c r="K125">
        <f t="shared" si="13"/>
        <v>4581</v>
      </c>
    </row>
    <row r="126" spans="1:11" x14ac:dyDescent="0.3">
      <c r="A126" s="1">
        <v>41703</v>
      </c>
      <c r="B126">
        <v>131436.79240000001</v>
      </c>
      <c r="C126">
        <v>127601.94469999999</v>
      </c>
      <c r="D126">
        <v>3697</v>
      </c>
      <c r="E126">
        <f t="shared" si="7"/>
        <v>35.552283581282126</v>
      </c>
      <c r="F126">
        <f t="shared" si="8"/>
        <v>3834.847700000013</v>
      </c>
      <c r="G126">
        <f t="shared" si="9"/>
        <v>2.9176364014799352E-2</v>
      </c>
      <c r="H126">
        <f t="shared" si="10"/>
        <v>1.0372863673248673</v>
      </c>
      <c r="I126">
        <f t="shared" si="11"/>
        <v>34.514997213957258</v>
      </c>
      <c r="J126" t="b">
        <f t="shared" si="12"/>
        <v>1</v>
      </c>
      <c r="K126">
        <f t="shared" si="13"/>
        <v>3697</v>
      </c>
    </row>
    <row r="127" spans="1:11" x14ac:dyDescent="0.3">
      <c r="A127" s="1">
        <v>41734</v>
      </c>
      <c r="B127">
        <v>93082.043959999995</v>
      </c>
      <c r="C127">
        <v>91601.506540000002</v>
      </c>
      <c r="D127">
        <v>2642</v>
      </c>
      <c r="E127">
        <f t="shared" si="7"/>
        <v>35.231659333838003</v>
      </c>
      <c r="F127">
        <f t="shared" si="8"/>
        <v>1480.5374199999933</v>
      </c>
      <c r="G127">
        <f t="shared" si="9"/>
        <v>1.5905725282915169E-2</v>
      </c>
      <c r="H127">
        <f t="shared" si="10"/>
        <v>0.56038509462528197</v>
      </c>
      <c r="I127">
        <f t="shared" si="11"/>
        <v>34.671274239212721</v>
      </c>
      <c r="J127" t="b">
        <f t="shared" si="12"/>
        <v>1</v>
      </c>
      <c r="K127">
        <f t="shared" si="13"/>
        <v>2642</v>
      </c>
    </row>
    <row r="128" spans="1:11" x14ac:dyDescent="0.3">
      <c r="A128" s="1">
        <v>41764</v>
      </c>
      <c r="B128">
        <v>110887.01330000001</v>
      </c>
      <c r="C128">
        <v>109460.1532</v>
      </c>
      <c r="D128">
        <v>3154</v>
      </c>
      <c r="E128">
        <f t="shared" si="7"/>
        <v>35.157581896005077</v>
      </c>
      <c r="F128">
        <f t="shared" si="8"/>
        <v>1426.8601000000053</v>
      </c>
      <c r="G128">
        <f t="shared" si="9"/>
        <v>1.2867693497521636E-2</v>
      </c>
      <c r="H128">
        <f t="shared" si="10"/>
        <v>0.45239698795180772</v>
      </c>
      <c r="I128">
        <f t="shared" si="11"/>
        <v>34.705184908053269</v>
      </c>
      <c r="J128" t="b">
        <f t="shared" si="12"/>
        <v>1</v>
      </c>
      <c r="K128">
        <f t="shared" si="13"/>
        <v>3154</v>
      </c>
    </row>
    <row r="129" spans="1:11" x14ac:dyDescent="0.3">
      <c r="A129" s="1">
        <v>41795</v>
      </c>
      <c r="B129">
        <v>119385.5754</v>
      </c>
      <c r="C129">
        <v>115693.1066</v>
      </c>
      <c r="D129">
        <v>3324</v>
      </c>
      <c r="E129">
        <f t="shared" si="7"/>
        <v>35.916238086642601</v>
      </c>
      <c r="F129">
        <f t="shared" si="8"/>
        <v>3692.4688000000024</v>
      </c>
      <c r="G129">
        <f t="shared" si="9"/>
        <v>3.0928935825190171E-2</v>
      </c>
      <c r="H129">
        <f t="shared" si="10"/>
        <v>1.1108510228640185</v>
      </c>
      <c r="I129">
        <f t="shared" si="11"/>
        <v>34.805387063778582</v>
      </c>
      <c r="J129" t="b">
        <f t="shared" si="12"/>
        <v>1</v>
      </c>
      <c r="K129">
        <f t="shared" si="13"/>
        <v>3324</v>
      </c>
    </row>
    <row r="130" spans="1:11" x14ac:dyDescent="0.3">
      <c r="A130" s="1">
        <v>41825</v>
      </c>
      <c r="B130">
        <v>91719.589380000005</v>
      </c>
      <c r="C130">
        <v>93157.170580000005</v>
      </c>
      <c r="D130">
        <v>2677</v>
      </c>
      <c r="E130">
        <f t="shared" si="7"/>
        <v>34.262080455734029</v>
      </c>
      <c r="F130">
        <f t="shared" si="8"/>
        <v>-1437.5812000000005</v>
      </c>
      <c r="G130">
        <f t="shared" si="9"/>
        <v>-1.5673654992544847E-2</v>
      </c>
      <c r="H130">
        <f t="shared" si="10"/>
        <v>-0.53701202838999507</v>
      </c>
      <c r="I130">
        <f t="shared" si="11"/>
        <v>34.799092484124024</v>
      </c>
      <c r="J130" t="b">
        <f t="shared" si="12"/>
        <v>0</v>
      </c>
      <c r="K130">
        <f t="shared" si="13"/>
        <v>2677</v>
      </c>
    </row>
    <row r="131" spans="1:11" x14ac:dyDescent="0.3">
      <c r="A131" s="1">
        <v>41856</v>
      </c>
      <c r="B131">
        <v>96335.448950000005</v>
      </c>
      <c r="C131">
        <v>93696.216140000004</v>
      </c>
      <c r="D131">
        <v>2683</v>
      </c>
      <c r="E131">
        <f t="shared" ref="E131:E194" si="14">B131/D131</f>
        <v>35.905869903093553</v>
      </c>
      <c r="F131">
        <f t="shared" ref="F131:F194" si="15">B131-C131</f>
        <v>2639.2328100000013</v>
      </c>
      <c r="G131">
        <f t="shared" ref="G131:H194" si="16">F131/B131</f>
        <v>2.7396278719475475E-2</v>
      </c>
      <c r="H131">
        <f t="shared" ref="H131:H194" si="17">E131-I131</f>
        <v>0.98368721953037408</v>
      </c>
      <c r="I131">
        <f t="shared" ref="I131:I194" si="18">C131/D131</f>
        <v>34.922182683563179</v>
      </c>
      <c r="J131" t="b">
        <f t="shared" ref="J131:J194" si="19">H131&gt;0</f>
        <v>1</v>
      </c>
      <c r="K131">
        <f t="shared" ref="K131:K194" si="20">D131</f>
        <v>2683</v>
      </c>
    </row>
    <row r="132" spans="1:11" x14ac:dyDescent="0.3">
      <c r="A132" s="1">
        <v>41887</v>
      </c>
      <c r="B132">
        <v>303226.29840000003</v>
      </c>
      <c r="C132">
        <v>325836.94010000001</v>
      </c>
      <c r="D132">
        <v>9328</v>
      </c>
      <c r="E132">
        <f t="shared" si="14"/>
        <v>32.50710746140652</v>
      </c>
      <c r="F132">
        <f t="shared" si="15"/>
        <v>-22610.641699999978</v>
      </c>
      <c r="G132">
        <f t="shared" si="16"/>
        <v>-7.4566888885650745E-2</v>
      </c>
      <c r="H132">
        <f t="shared" si="17"/>
        <v>-2.4239538700686083</v>
      </c>
      <c r="I132">
        <f t="shared" si="18"/>
        <v>34.931061331475128</v>
      </c>
      <c r="J132" t="b">
        <f t="shared" si="19"/>
        <v>0</v>
      </c>
      <c r="K132">
        <f t="shared" si="20"/>
        <v>9328</v>
      </c>
    </row>
    <row r="133" spans="1:11" x14ac:dyDescent="0.3">
      <c r="A133" s="1">
        <v>41917</v>
      </c>
      <c r="B133">
        <v>431695.70919999998</v>
      </c>
      <c r="C133">
        <v>465253.81569999998</v>
      </c>
      <c r="D133">
        <v>13306</v>
      </c>
      <c r="E133">
        <f t="shared" si="14"/>
        <v>32.443687749887268</v>
      </c>
      <c r="F133">
        <f t="shared" si="15"/>
        <v>-33558.106499999994</v>
      </c>
      <c r="G133">
        <f t="shared" si="16"/>
        <v>-7.773555721039814E-2</v>
      </c>
      <c r="H133">
        <f t="shared" si="17"/>
        <v>-2.5220281451976518</v>
      </c>
      <c r="I133">
        <f t="shared" si="18"/>
        <v>34.965715895084919</v>
      </c>
      <c r="J133" t="b">
        <f t="shared" si="19"/>
        <v>0</v>
      </c>
      <c r="K133">
        <f t="shared" si="20"/>
        <v>13306</v>
      </c>
    </row>
    <row r="134" spans="1:11" x14ac:dyDescent="0.3">
      <c r="A134" s="1">
        <v>41948</v>
      </c>
      <c r="B134">
        <v>200407.27710000001</v>
      </c>
      <c r="C134">
        <v>215907.82490000001</v>
      </c>
      <c r="D134">
        <v>6173</v>
      </c>
      <c r="E134">
        <f t="shared" si="14"/>
        <v>32.465134796695288</v>
      </c>
      <c r="F134">
        <f t="shared" si="15"/>
        <v>-15500.5478</v>
      </c>
      <c r="G134">
        <f t="shared" si="16"/>
        <v>-7.7345234286405065E-2</v>
      </c>
      <c r="H134">
        <f t="shared" si="17"/>
        <v>-2.5110234569901166</v>
      </c>
      <c r="I134">
        <f t="shared" si="18"/>
        <v>34.976158253685405</v>
      </c>
      <c r="J134" t="b">
        <f t="shared" si="19"/>
        <v>0</v>
      </c>
      <c r="K134">
        <f t="shared" si="20"/>
        <v>6173</v>
      </c>
    </row>
    <row r="135" spans="1:11" x14ac:dyDescent="0.3">
      <c r="A135" s="1">
        <v>41978</v>
      </c>
      <c r="B135">
        <v>183413.7083</v>
      </c>
      <c r="C135">
        <v>197835.4951</v>
      </c>
      <c r="D135">
        <v>5653</v>
      </c>
      <c r="E135">
        <f t="shared" si="14"/>
        <v>32.445375605872989</v>
      </c>
      <c r="F135">
        <f t="shared" si="15"/>
        <v>-14421.786800000002</v>
      </c>
      <c r="G135">
        <f t="shared" si="16"/>
        <v>-7.8629819622920746E-2</v>
      </c>
      <c r="H135">
        <f t="shared" si="17"/>
        <v>-2.5511740314877045</v>
      </c>
      <c r="I135">
        <f t="shared" si="18"/>
        <v>34.996549637360694</v>
      </c>
      <c r="J135" t="b">
        <f t="shared" si="19"/>
        <v>0</v>
      </c>
      <c r="K135">
        <f t="shared" si="20"/>
        <v>5653</v>
      </c>
    </row>
    <row r="136" spans="1:11" x14ac:dyDescent="0.3">
      <c r="A136" t="s">
        <v>78</v>
      </c>
      <c r="B136">
        <v>146166.6011</v>
      </c>
      <c r="C136">
        <v>157693.1893</v>
      </c>
      <c r="D136">
        <v>4503</v>
      </c>
      <c r="E136">
        <f t="shared" si="14"/>
        <v>32.459827026426829</v>
      </c>
      <c r="F136">
        <f t="shared" si="15"/>
        <v>-11526.588199999998</v>
      </c>
      <c r="G136">
        <f t="shared" si="16"/>
        <v>-7.8859247688971526E-2</v>
      </c>
      <c r="H136">
        <f t="shared" si="17"/>
        <v>-2.5597575394181646</v>
      </c>
      <c r="I136">
        <f t="shared" si="18"/>
        <v>35.019584565844994</v>
      </c>
      <c r="J136" t="b">
        <f t="shared" si="19"/>
        <v>0</v>
      </c>
      <c r="K136">
        <f t="shared" si="20"/>
        <v>4503</v>
      </c>
    </row>
    <row r="137" spans="1:11" x14ac:dyDescent="0.3">
      <c r="A137" t="s">
        <v>79</v>
      </c>
      <c r="B137">
        <v>201120.72760000001</v>
      </c>
      <c r="C137">
        <v>218098.76190000001</v>
      </c>
      <c r="D137">
        <v>6253</v>
      </c>
      <c r="E137">
        <f t="shared" si="14"/>
        <v>32.163877754677756</v>
      </c>
      <c r="F137">
        <f t="shared" si="15"/>
        <v>-16978.034299999999</v>
      </c>
      <c r="G137">
        <f t="shared" si="16"/>
        <v>-8.4417128471048736E-2</v>
      </c>
      <c r="H137">
        <f t="shared" si="17"/>
        <v>-2.7151822005437367</v>
      </c>
      <c r="I137">
        <f t="shared" si="18"/>
        <v>34.879059955221493</v>
      </c>
      <c r="J137" t="b">
        <f t="shared" si="19"/>
        <v>0</v>
      </c>
      <c r="K137">
        <f t="shared" si="20"/>
        <v>6253</v>
      </c>
    </row>
    <row r="138" spans="1:11" x14ac:dyDescent="0.3">
      <c r="A138" t="s">
        <v>80</v>
      </c>
      <c r="B138">
        <v>270123.55080000003</v>
      </c>
      <c r="C138">
        <v>289864.79849999998</v>
      </c>
      <c r="D138">
        <v>8408</v>
      </c>
      <c r="E138">
        <f t="shared" si="14"/>
        <v>32.126968458610847</v>
      </c>
      <c r="F138">
        <f t="shared" si="15"/>
        <v>-19741.247699999949</v>
      </c>
      <c r="G138">
        <f t="shared" si="16"/>
        <v>-7.3082290091086521E-2</v>
      </c>
      <c r="H138">
        <f t="shared" si="17"/>
        <v>-2.3479124286393898</v>
      </c>
      <c r="I138">
        <f t="shared" si="18"/>
        <v>34.474880887250237</v>
      </c>
      <c r="J138" t="b">
        <f t="shared" si="19"/>
        <v>0</v>
      </c>
      <c r="K138">
        <f t="shared" si="20"/>
        <v>8408</v>
      </c>
    </row>
    <row r="139" spans="1:11" x14ac:dyDescent="0.3">
      <c r="A139" t="s">
        <v>81</v>
      </c>
      <c r="B139">
        <v>415315.38390000002</v>
      </c>
      <c r="C139">
        <v>441790.7672</v>
      </c>
      <c r="D139">
        <v>12949</v>
      </c>
      <c r="E139">
        <f t="shared" si="14"/>
        <v>32.073162707544988</v>
      </c>
      <c r="F139">
        <f t="shared" si="15"/>
        <v>-26475.383299999987</v>
      </c>
      <c r="G139">
        <f t="shared" si="16"/>
        <v>-6.3747658589922956E-2</v>
      </c>
      <c r="H139">
        <f t="shared" si="17"/>
        <v>-2.0445890261796222</v>
      </c>
      <c r="I139">
        <f t="shared" si="18"/>
        <v>34.11775173372461</v>
      </c>
      <c r="J139" t="b">
        <f t="shared" si="19"/>
        <v>0</v>
      </c>
      <c r="K139">
        <f t="shared" si="20"/>
        <v>12949</v>
      </c>
    </row>
    <row r="140" spans="1:11" x14ac:dyDescent="0.3">
      <c r="A140" t="s">
        <v>82</v>
      </c>
      <c r="B140">
        <v>498716.9976</v>
      </c>
      <c r="C140">
        <v>526707.37699999998</v>
      </c>
      <c r="D140">
        <v>15508</v>
      </c>
      <c r="E140">
        <f t="shared" si="14"/>
        <v>32.1586921330926</v>
      </c>
      <c r="F140">
        <f t="shared" si="15"/>
        <v>-27990.379399999976</v>
      </c>
      <c r="G140">
        <f t="shared" si="16"/>
        <v>-5.6124775242671565E-2</v>
      </c>
      <c r="H140">
        <f t="shared" si="17"/>
        <v>-1.8048993680680923</v>
      </c>
      <c r="I140">
        <f t="shared" si="18"/>
        <v>33.963591501160693</v>
      </c>
      <c r="J140" t="b">
        <f t="shared" si="19"/>
        <v>0</v>
      </c>
      <c r="K140">
        <f t="shared" si="20"/>
        <v>15508</v>
      </c>
    </row>
    <row r="141" spans="1:11" x14ac:dyDescent="0.3">
      <c r="A141" t="s">
        <v>83</v>
      </c>
      <c r="B141">
        <v>166433.1721</v>
      </c>
      <c r="C141">
        <v>174376.63250000001</v>
      </c>
      <c r="D141">
        <v>5141</v>
      </c>
      <c r="E141">
        <f t="shared" si="14"/>
        <v>32.373696187512159</v>
      </c>
      <c r="F141">
        <f t="shared" si="15"/>
        <v>-7943.4604000000108</v>
      </c>
      <c r="G141">
        <f t="shared" si="16"/>
        <v>-4.7727627249856464E-2</v>
      </c>
      <c r="H141">
        <f t="shared" si="17"/>
        <v>-1.5451197043376794</v>
      </c>
      <c r="I141">
        <f t="shared" si="18"/>
        <v>33.918815891849839</v>
      </c>
      <c r="J141" t="b">
        <f t="shared" si="19"/>
        <v>0</v>
      </c>
      <c r="K141">
        <f t="shared" si="20"/>
        <v>5141</v>
      </c>
    </row>
    <row r="142" spans="1:11" x14ac:dyDescent="0.3">
      <c r="A142" t="s">
        <v>84</v>
      </c>
      <c r="B142">
        <v>168520.62940000001</v>
      </c>
      <c r="C142">
        <v>175540.11550000001</v>
      </c>
      <c r="D142">
        <v>5194</v>
      </c>
      <c r="E142">
        <f t="shared" si="14"/>
        <v>32.445250173276861</v>
      </c>
      <c r="F142">
        <f t="shared" si="15"/>
        <v>-7019.4861000000092</v>
      </c>
      <c r="G142">
        <f t="shared" si="16"/>
        <v>-4.1653571583444425E-2</v>
      </c>
      <c r="H142">
        <f t="shared" si="17"/>
        <v>-1.3514605506353448</v>
      </c>
      <c r="I142">
        <f t="shared" si="18"/>
        <v>33.796710723912206</v>
      </c>
      <c r="J142" t="b">
        <f t="shared" si="19"/>
        <v>0</v>
      </c>
      <c r="K142">
        <f t="shared" si="20"/>
        <v>5194</v>
      </c>
    </row>
    <row r="143" spans="1:11" x14ac:dyDescent="0.3">
      <c r="A143" t="s">
        <v>85</v>
      </c>
      <c r="B143">
        <v>178123.53210000001</v>
      </c>
      <c r="C143">
        <v>187748.1722</v>
      </c>
      <c r="D143">
        <v>5550</v>
      </c>
      <c r="E143">
        <f t="shared" si="14"/>
        <v>32.09433010810811</v>
      </c>
      <c r="F143">
        <f t="shared" si="15"/>
        <v>-9624.6400999999896</v>
      </c>
      <c r="G143">
        <f t="shared" si="16"/>
        <v>-5.4033512509715102E-2</v>
      </c>
      <c r="H143">
        <f t="shared" si="17"/>
        <v>-1.7341693873873822</v>
      </c>
      <c r="I143">
        <f t="shared" si="18"/>
        <v>33.828499495495493</v>
      </c>
      <c r="J143" t="b">
        <f t="shared" si="19"/>
        <v>0</v>
      </c>
      <c r="K143">
        <f t="shared" si="20"/>
        <v>5550</v>
      </c>
    </row>
    <row r="144" spans="1:11" x14ac:dyDescent="0.3">
      <c r="A144" t="s">
        <v>86</v>
      </c>
      <c r="B144">
        <v>194878.8026</v>
      </c>
      <c r="C144">
        <v>204460.6654</v>
      </c>
      <c r="D144">
        <v>6070</v>
      </c>
      <c r="E144">
        <f t="shared" si="14"/>
        <v>32.105239308072484</v>
      </c>
      <c r="F144">
        <f t="shared" si="15"/>
        <v>-9581.8628000000026</v>
      </c>
      <c r="G144">
        <f t="shared" si="16"/>
        <v>-4.916831729342739E-2</v>
      </c>
      <c r="H144">
        <f t="shared" si="17"/>
        <v>-1.5785605930807307</v>
      </c>
      <c r="I144">
        <f t="shared" si="18"/>
        <v>33.683799901153215</v>
      </c>
      <c r="J144" t="b">
        <f t="shared" si="19"/>
        <v>0</v>
      </c>
      <c r="K144">
        <f t="shared" si="20"/>
        <v>6070</v>
      </c>
    </row>
    <row r="145" spans="1:11" x14ac:dyDescent="0.3">
      <c r="A145" t="s">
        <v>87</v>
      </c>
      <c r="B145">
        <v>115475.0969</v>
      </c>
      <c r="C145">
        <v>115011.3226</v>
      </c>
      <c r="D145">
        <v>3421</v>
      </c>
      <c r="E145">
        <f t="shared" si="14"/>
        <v>33.754778398129204</v>
      </c>
      <c r="F145">
        <f t="shared" si="15"/>
        <v>463.77430000000459</v>
      </c>
      <c r="G145">
        <f t="shared" si="16"/>
        <v>4.0162278486904181E-3</v>
      </c>
      <c r="H145">
        <f t="shared" si="17"/>
        <v>0.13556688102894299</v>
      </c>
      <c r="I145">
        <f t="shared" si="18"/>
        <v>33.619211517100261</v>
      </c>
      <c r="J145" t="b">
        <f t="shared" si="19"/>
        <v>1</v>
      </c>
      <c r="K145">
        <f t="shared" si="20"/>
        <v>3421</v>
      </c>
    </row>
    <row r="146" spans="1:11" x14ac:dyDescent="0.3">
      <c r="A146" t="s">
        <v>88</v>
      </c>
      <c r="B146">
        <v>430521.0245</v>
      </c>
      <c r="C146">
        <v>449274.1863</v>
      </c>
      <c r="D146">
        <v>13384</v>
      </c>
      <c r="E146">
        <f t="shared" si="14"/>
        <v>32.166842834728037</v>
      </c>
      <c r="F146">
        <f t="shared" si="15"/>
        <v>-18753.161800000002</v>
      </c>
      <c r="G146">
        <f t="shared" si="16"/>
        <v>-4.355922413261841E-2</v>
      </c>
      <c r="H146">
        <f t="shared" si="17"/>
        <v>-1.4011627166766232</v>
      </c>
      <c r="I146">
        <f t="shared" si="18"/>
        <v>33.56800555140466</v>
      </c>
      <c r="J146" t="b">
        <f t="shared" si="19"/>
        <v>0</v>
      </c>
      <c r="K146">
        <f t="shared" si="20"/>
        <v>13384</v>
      </c>
    </row>
    <row r="147" spans="1:11" x14ac:dyDescent="0.3">
      <c r="A147" t="s">
        <v>89</v>
      </c>
      <c r="B147">
        <v>590642.82570000004</v>
      </c>
      <c r="C147">
        <v>614245.79410000006</v>
      </c>
      <c r="D147">
        <v>18356</v>
      </c>
      <c r="E147">
        <f t="shared" si="14"/>
        <v>32.177098806929614</v>
      </c>
      <c r="F147">
        <f t="shared" si="15"/>
        <v>-23602.968400000012</v>
      </c>
      <c r="G147">
        <f t="shared" si="16"/>
        <v>-3.9961491739152109E-2</v>
      </c>
      <c r="H147">
        <f t="shared" si="17"/>
        <v>-1.2858448681630037</v>
      </c>
      <c r="I147">
        <f t="shared" si="18"/>
        <v>33.462943675092617</v>
      </c>
      <c r="J147" t="b">
        <f t="shared" si="19"/>
        <v>0</v>
      </c>
      <c r="K147">
        <f t="shared" si="20"/>
        <v>18356</v>
      </c>
    </row>
    <row r="148" spans="1:11" x14ac:dyDescent="0.3">
      <c r="A148" t="s">
        <v>90</v>
      </c>
      <c r="B148">
        <v>210764.71799999999</v>
      </c>
      <c r="C148">
        <v>217364.46299999999</v>
      </c>
      <c r="D148">
        <v>6500</v>
      </c>
      <c r="E148">
        <f t="shared" si="14"/>
        <v>32.425341230769227</v>
      </c>
      <c r="F148">
        <f t="shared" si="15"/>
        <v>-6599.7449999999953</v>
      </c>
      <c r="G148">
        <f t="shared" si="16"/>
        <v>-3.1313329207215773E-2</v>
      </c>
      <c r="H148">
        <f t="shared" si="17"/>
        <v>-1.0153453846153866</v>
      </c>
      <c r="I148">
        <f t="shared" si="18"/>
        <v>33.440686615384614</v>
      </c>
      <c r="J148" t="b">
        <f t="shared" si="19"/>
        <v>0</v>
      </c>
      <c r="K148">
        <f t="shared" si="20"/>
        <v>6500</v>
      </c>
    </row>
    <row r="149" spans="1:11" x14ac:dyDescent="0.3">
      <c r="A149" t="s">
        <v>91</v>
      </c>
      <c r="B149">
        <v>218189.34849999999</v>
      </c>
      <c r="C149">
        <v>225607.59520000001</v>
      </c>
      <c r="D149">
        <v>6752</v>
      </c>
      <c r="E149">
        <f t="shared" si="14"/>
        <v>32.314773178317537</v>
      </c>
      <c r="F149">
        <f t="shared" si="15"/>
        <v>-7418.2467000000179</v>
      </c>
      <c r="G149">
        <f t="shared" si="16"/>
        <v>-3.3999123930653373E-2</v>
      </c>
      <c r="H149">
        <f t="shared" si="17"/>
        <v>-1.0986739780805692</v>
      </c>
      <c r="I149">
        <f t="shared" si="18"/>
        <v>33.413447156398107</v>
      </c>
      <c r="J149" t="b">
        <f t="shared" si="19"/>
        <v>0</v>
      </c>
      <c r="K149">
        <f t="shared" si="20"/>
        <v>6752</v>
      </c>
    </row>
    <row r="150" spans="1:11" x14ac:dyDescent="0.3">
      <c r="A150" t="s">
        <v>92</v>
      </c>
      <c r="B150">
        <v>226132.4639</v>
      </c>
      <c r="C150">
        <v>234496.5128</v>
      </c>
      <c r="D150">
        <v>7023</v>
      </c>
      <c r="E150">
        <f t="shared" si="14"/>
        <v>32.198841506478715</v>
      </c>
      <c r="F150">
        <f t="shared" si="15"/>
        <v>-8364.0488999999943</v>
      </c>
      <c r="G150">
        <f t="shared" si="16"/>
        <v>-3.6987386754423431E-2</v>
      </c>
      <c r="H150">
        <f t="shared" si="17"/>
        <v>-1.1909510038445106</v>
      </c>
      <c r="I150">
        <f t="shared" si="18"/>
        <v>33.389792510323225</v>
      </c>
      <c r="J150" t="b">
        <f t="shared" si="19"/>
        <v>0</v>
      </c>
      <c r="K150">
        <f t="shared" si="20"/>
        <v>7023</v>
      </c>
    </row>
    <row r="151" spans="1:11" x14ac:dyDescent="0.3">
      <c r="A151" t="s">
        <v>93</v>
      </c>
      <c r="B151">
        <v>243720.86799999999</v>
      </c>
      <c r="C151">
        <v>252929.2947</v>
      </c>
      <c r="D151">
        <v>7579</v>
      </c>
      <c r="E151">
        <f t="shared" si="14"/>
        <v>32.157391212561024</v>
      </c>
      <c r="F151">
        <f t="shared" si="15"/>
        <v>-9208.4267000000109</v>
      </c>
      <c r="G151">
        <f t="shared" si="16"/>
        <v>-3.7782676450996436E-2</v>
      </c>
      <c r="H151">
        <f t="shared" si="17"/>
        <v>-1.2149923076923059</v>
      </c>
      <c r="I151">
        <f t="shared" si="18"/>
        <v>33.372383520253329</v>
      </c>
      <c r="J151" t="b">
        <f t="shared" si="19"/>
        <v>0</v>
      </c>
      <c r="K151">
        <f t="shared" si="20"/>
        <v>7579</v>
      </c>
    </row>
    <row r="152" spans="1:11" x14ac:dyDescent="0.3">
      <c r="A152" t="s">
        <v>94</v>
      </c>
      <c r="B152">
        <v>207429.429</v>
      </c>
      <c r="C152">
        <v>215118.84650000001</v>
      </c>
      <c r="D152">
        <v>6448</v>
      </c>
      <c r="E152">
        <f t="shared" si="14"/>
        <v>32.169576457816376</v>
      </c>
      <c r="F152">
        <f t="shared" si="15"/>
        <v>-7689.4175000000105</v>
      </c>
      <c r="G152">
        <f t="shared" si="16"/>
        <v>-3.7070041300648858E-2</v>
      </c>
      <c r="H152">
        <f t="shared" si="17"/>
        <v>-1.1925275279156367</v>
      </c>
      <c r="I152">
        <f t="shared" si="18"/>
        <v>33.362103985732013</v>
      </c>
      <c r="J152" t="b">
        <f t="shared" si="19"/>
        <v>0</v>
      </c>
      <c r="K152">
        <f t="shared" si="20"/>
        <v>6448</v>
      </c>
    </row>
    <row r="153" spans="1:11" x14ac:dyDescent="0.3">
      <c r="A153" t="s">
        <v>95</v>
      </c>
      <c r="B153">
        <v>503149.4313</v>
      </c>
      <c r="C153">
        <v>521651.08610000001</v>
      </c>
      <c r="D153">
        <v>15637</v>
      </c>
      <c r="E153">
        <f t="shared" si="14"/>
        <v>32.17685178103217</v>
      </c>
      <c r="F153">
        <f t="shared" si="15"/>
        <v>-18501.654800000018</v>
      </c>
      <c r="G153">
        <f t="shared" si="16"/>
        <v>-3.6771689778515346E-2</v>
      </c>
      <c r="H153">
        <f t="shared" si="17"/>
        <v>-1.1831972117413798</v>
      </c>
      <c r="I153">
        <f t="shared" si="18"/>
        <v>33.36004899277355</v>
      </c>
      <c r="J153" t="b">
        <f t="shared" si="19"/>
        <v>0</v>
      </c>
      <c r="K153">
        <f t="shared" si="20"/>
        <v>15637</v>
      </c>
    </row>
    <row r="154" spans="1:11" x14ac:dyDescent="0.3">
      <c r="A154" t="s">
        <v>96</v>
      </c>
      <c r="B154">
        <v>603748.78949999996</v>
      </c>
      <c r="C154">
        <v>626259.38679999998</v>
      </c>
      <c r="D154">
        <v>18775</v>
      </c>
      <c r="E154">
        <f t="shared" si="14"/>
        <v>32.157059360852195</v>
      </c>
      <c r="F154">
        <f t="shared" si="15"/>
        <v>-22510.597300000023</v>
      </c>
      <c r="G154">
        <f t="shared" si="16"/>
        <v>-3.7284707963791332E-2</v>
      </c>
      <c r="H154">
        <f t="shared" si="17"/>
        <v>-1.1989665672436729</v>
      </c>
      <c r="I154">
        <f t="shared" si="18"/>
        <v>33.356025928095868</v>
      </c>
      <c r="J154" t="b">
        <f t="shared" si="19"/>
        <v>0</v>
      </c>
      <c r="K154">
        <f t="shared" si="20"/>
        <v>18775</v>
      </c>
    </row>
    <row r="155" spans="1:11" x14ac:dyDescent="0.3">
      <c r="A155" s="1">
        <v>41645</v>
      </c>
      <c r="B155">
        <v>456017.46309999999</v>
      </c>
      <c r="C155">
        <v>473223.98070000001</v>
      </c>
      <c r="D155">
        <v>14188</v>
      </c>
      <c r="E155">
        <f t="shared" si="14"/>
        <v>32.141067317451366</v>
      </c>
      <c r="F155">
        <f t="shared" si="15"/>
        <v>-17206.517600000021</v>
      </c>
      <c r="G155">
        <f t="shared" si="16"/>
        <v>-3.7732146227537795E-2</v>
      </c>
      <c r="H155">
        <f t="shared" si="17"/>
        <v>-1.2127514519312115</v>
      </c>
      <c r="I155">
        <f t="shared" si="18"/>
        <v>33.353818769382578</v>
      </c>
      <c r="J155" t="b">
        <f t="shared" si="19"/>
        <v>0</v>
      </c>
      <c r="K155">
        <f t="shared" si="20"/>
        <v>14188</v>
      </c>
    </row>
    <row r="156" spans="1:11" x14ac:dyDescent="0.3">
      <c r="A156" s="1">
        <v>41676</v>
      </c>
      <c r="B156">
        <v>425845.196</v>
      </c>
      <c r="C156">
        <v>442155.99119999999</v>
      </c>
      <c r="D156">
        <v>13256</v>
      </c>
      <c r="E156">
        <f t="shared" si="14"/>
        <v>32.124713035606518</v>
      </c>
      <c r="F156">
        <f t="shared" si="15"/>
        <v>-16310.795199999993</v>
      </c>
      <c r="G156">
        <f t="shared" si="16"/>
        <v>-3.8302170256254327E-2</v>
      </c>
      <c r="H156">
        <f t="shared" si="17"/>
        <v>-1.2304462281231139</v>
      </c>
      <c r="I156">
        <f t="shared" si="18"/>
        <v>33.355159263729632</v>
      </c>
      <c r="J156" t="b">
        <f t="shared" si="19"/>
        <v>0</v>
      </c>
      <c r="K156">
        <f t="shared" si="20"/>
        <v>13256</v>
      </c>
    </row>
    <row r="157" spans="1:11" x14ac:dyDescent="0.3">
      <c r="A157" s="1">
        <v>41704</v>
      </c>
      <c r="B157">
        <v>328217.77</v>
      </c>
      <c r="C157">
        <v>340913.59169999999</v>
      </c>
      <c r="D157">
        <v>10223</v>
      </c>
      <c r="E157">
        <f t="shared" si="14"/>
        <v>32.105817274772576</v>
      </c>
      <c r="F157">
        <f t="shared" si="15"/>
        <v>-12695.821699999971</v>
      </c>
      <c r="G157">
        <f t="shared" si="16"/>
        <v>-3.8681091825101273E-2</v>
      </c>
      <c r="H157">
        <f t="shared" si="17"/>
        <v>-1.2418880661253979</v>
      </c>
      <c r="I157">
        <f t="shared" si="18"/>
        <v>33.347705340897974</v>
      </c>
      <c r="J157" t="b">
        <f t="shared" si="19"/>
        <v>0</v>
      </c>
      <c r="K157">
        <f t="shared" si="20"/>
        <v>10223</v>
      </c>
    </row>
    <row r="158" spans="1:11" x14ac:dyDescent="0.3">
      <c r="A158" s="1">
        <v>41735</v>
      </c>
      <c r="B158">
        <v>286405.9988</v>
      </c>
      <c r="C158">
        <v>296902.67249999999</v>
      </c>
      <c r="D158">
        <v>8904</v>
      </c>
      <c r="E158">
        <f t="shared" si="14"/>
        <v>32.165992677448337</v>
      </c>
      <c r="F158">
        <f t="shared" si="15"/>
        <v>-10496.673699999985</v>
      </c>
      <c r="G158">
        <f t="shared" si="16"/>
        <v>-3.6649629351268968E-2</v>
      </c>
      <c r="H158">
        <f t="shared" si="17"/>
        <v>-1.178871709344115</v>
      </c>
      <c r="I158">
        <f t="shared" si="18"/>
        <v>33.344864386792452</v>
      </c>
      <c r="J158" t="b">
        <f t="shared" si="19"/>
        <v>0</v>
      </c>
      <c r="K158">
        <f t="shared" si="20"/>
        <v>8904</v>
      </c>
    </row>
    <row r="159" spans="1:11" x14ac:dyDescent="0.3">
      <c r="A159" s="1">
        <v>41765</v>
      </c>
      <c r="B159">
        <v>184989.88870000001</v>
      </c>
      <c r="C159">
        <v>192824.89009999999</v>
      </c>
      <c r="D159">
        <v>5783</v>
      </c>
      <c r="E159">
        <f t="shared" si="14"/>
        <v>31.988567992391495</v>
      </c>
      <c r="F159">
        <f t="shared" si="15"/>
        <v>-7835.0013999999792</v>
      </c>
      <c r="G159">
        <f t="shared" si="16"/>
        <v>-4.2353673787577012E-2</v>
      </c>
      <c r="H159">
        <f t="shared" si="17"/>
        <v>-1.3548333736814726</v>
      </c>
      <c r="I159">
        <f t="shared" si="18"/>
        <v>33.343401366072968</v>
      </c>
      <c r="J159" t="b">
        <f t="shared" si="19"/>
        <v>0</v>
      </c>
      <c r="K159">
        <f t="shared" si="20"/>
        <v>5783</v>
      </c>
    </row>
    <row r="160" spans="1:11" x14ac:dyDescent="0.3">
      <c r="A160" s="1">
        <v>41796</v>
      </c>
      <c r="B160">
        <v>288118.30440000002</v>
      </c>
      <c r="C160">
        <v>300213.55940000003</v>
      </c>
      <c r="D160">
        <v>9005</v>
      </c>
      <c r="E160">
        <f t="shared" si="14"/>
        <v>31.995369727928932</v>
      </c>
      <c r="F160">
        <f t="shared" si="15"/>
        <v>-12095.255000000005</v>
      </c>
      <c r="G160">
        <f t="shared" si="16"/>
        <v>-4.1980168615763945E-2</v>
      </c>
      <c r="H160">
        <f t="shared" si="17"/>
        <v>-1.3431710161021684</v>
      </c>
      <c r="I160">
        <f t="shared" si="18"/>
        <v>33.3385407440311</v>
      </c>
      <c r="J160" t="b">
        <f t="shared" si="19"/>
        <v>0</v>
      </c>
      <c r="K160">
        <f t="shared" si="20"/>
        <v>9005</v>
      </c>
    </row>
    <row r="161" spans="1:11" x14ac:dyDescent="0.3">
      <c r="A161" s="1">
        <v>41826</v>
      </c>
      <c r="B161">
        <v>391930.87800000003</v>
      </c>
      <c r="C161">
        <v>407438.91960000002</v>
      </c>
      <c r="D161">
        <v>12222</v>
      </c>
      <c r="E161">
        <f t="shared" si="14"/>
        <v>32.067654884634265</v>
      </c>
      <c r="F161">
        <f t="shared" si="15"/>
        <v>-15508.041599999997</v>
      </c>
      <c r="G161">
        <f t="shared" si="16"/>
        <v>-3.9568307756552921E-2</v>
      </c>
      <c r="H161">
        <f t="shared" si="17"/>
        <v>-1.2688628375061413</v>
      </c>
      <c r="I161">
        <f t="shared" si="18"/>
        <v>33.336517722140407</v>
      </c>
      <c r="J161" t="b">
        <f t="shared" si="19"/>
        <v>0</v>
      </c>
      <c r="K161">
        <f t="shared" si="20"/>
        <v>12222</v>
      </c>
    </row>
    <row r="162" spans="1:11" x14ac:dyDescent="0.3">
      <c r="A162" s="1">
        <v>41857</v>
      </c>
      <c r="B162">
        <v>193772.58110000001</v>
      </c>
      <c r="C162">
        <v>201254.71249999999</v>
      </c>
      <c r="D162">
        <v>6037</v>
      </c>
      <c r="E162">
        <f t="shared" si="14"/>
        <v>32.097495626967039</v>
      </c>
      <c r="F162">
        <f t="shared" si="15"/>
        <v>-7482.1313999999838</v>
      </c>
      <c r="G162">
        <f t="shared" si="16"/>
        <v>-3.8612952139697662E-2</v>
      </c>
      <c r="H162">
        <f t="shared" si="17"/>
        <v>-1.2393790624482364</v>
      </c>
      <c r="I162">
        <f t="shared" si="18"/>
        <v>33.336874689415275</v>
      </c>
      <c r="J162" t="b">
        <f t="shared" si="19"/>
        <v>0</v>
      </c>
      <c r="K162">
        <f t="shared" si="20"/>
        <v>6037</v>
      </c>
    </row>
    <row r="163" spans="1:11" x14ac:dyDescent="0.3">
      <c r="A163" s="1">
        <v>41888</v>
      </c>
      <c r="B163">
        <v>214177.9834</v>
      </c>
      <c r="C163">
        <v>220255.21919999999</v>
      </c>
      <c r="D163">
        <v>6607</v>
      </c>
      <c r="E163">
        <f t="shared" si="14"/>
        <v>32.416828121689115</v>
      </c>
      <c r="F163">
        <f t="shared" si="15"/>
        <v>-6077.2357999999949</v>
      </c>
      <c r="G163">
        <f t="shared" si="16"/>
        <v>-2.8374698946763897E-2</v>
      </c>
      <c r="H163">
        <f t="shared" si="17"/>
        <v>-0.91981773876192108</v>
      </c>
      <c r="I163">
        <f t="shared" si="18"/>
        <v>33.336645860451036</v>
      </c>
      <c r="J163" t="b">
        <f t="shared" si="19"/>
        <v>0</v>
      </c>
      <c r="K163">
        <f t="shared" si="20"/>
        <v>6607</v>
      </c>
    </row>
    <row r="164" spans="1:11" x14ac:dyDescent="0.3">
      <c r="A164" s="1">
        <v>41918</v>
      </c>
      <c r="B164">
        <v>188334.52119999999</v>
      </c>
      <c r="C164">
        <v>195254.78099999999</v>
      </c>
      <c r="D164">
        <v>5857</v>
      </c>
      <c r="E164">
        <f t="shared" si="14"/>
        <v>32.155458630698305</v>
      </c>
      <c r="F164">
        <f t="shared" si="15"/>
        <v>-6920.2597999999998</v>
      </c>
      <c r="G164">
        <f t="shared" si="16"/>
        <v>-3.674451054382695E-2</v>
      </c>
      <c r="H164">
        <f t="shared" si="17"/>
        <v>-1.1815365886972842</v>
      </c>
      <c r="I164">
        <f t="shared" si="18"/>
        <v>33.33699521939559</v>
      </c>
      <c r="J164" t="b">
        <f t="shared" si="19"/>
        <v>0</v>
      </c>
      <c r="K164">
        <f t="shared" si="20"/>
        <v>5857</v>
      </c>
    </row>
    <row r="165" spans="1:11" x14ac:dyDescent="0.3">
      <c r="A165" s="1">
        <v>41949</v>
      </c>
      <c r="B165">
        <v>174324.99479999999</v>
      </c>
      <c r="C165">
        <v>180978.601</v>
      </c>
      <c r="D165">
        <v>5429</v>
      </c>
      <c r="E165">
        <f t="shared" si="14"/>
        <v>32.109964044943816</v>
      </c>
      <c r="F165">
        <f t="shared" si="15"/>
        <v>-6653.6062000000093</v>
      </c>
      <c r="G165">
        <f t="shared" si="16"/>
        <v>-3.8167826751600221E-2</v>
      </c>
      <c r="H165">
        <f t="shared" si="17"/>
        <v>-1.2255675446675269</v>
      </c>
      <c r="I165">
        <f t="shared" si="18"/>
        <v>33.335531589611342</v>
      </c>
      <c r="J165" t="b">
        <f t="shared" si="19"/>
        <v>0</v>
      </c>
      <c r="K165">
        <f t="shared" si="20"/>
        <v>5429</v>
      </c>
    </row>
    <row r="166" spans="1:11" x14ac:dyDescent="0.3">
      <c r="A166" s="1">
        <v>41979</v>
      </c>
      <c r="B166">
        <v>200271.5643</v>
      </c>
      <c r="C166">
        <v>207757.70300000001</v>
      </c>
      <c r="D166">
        <v>6232</v>
      </c>
      <c r="E166">
        <f t="shared" si="14"/>
        <v>32.136001973684209</v>
      </c>
      <c r="F166">
        <f t="shared" si="15"/>
        <v>-7486.1387000000104</v>
      </c>
      <c r="G166">
        <f t="shared" si="16"/>
        <v>-3.7379938216221396E-2</v>
      </c>
      <c r="H166">
        <f t="shared" si="17"/>
        <v>-1.2012417682926824</v>
      </c>
      <c r="I166">
        <f t="shared" si="18"/>
        <v>33.337243741976891</v>
      </c>
      <c r="J166" t="b">
        <f t="shared" si="19"/>
        <v>0</v>
      </c>
      <c r="K166">
        <f t="shared" si="20"/>
        <v>6232</v>
      </c>
    </row>
    <row r="167" spans="1:11" x14ac:dyDescent="0.3">
      <c r="A167" t="s">
        <v>97</v>
      </c>
      <c r="B167">
        <v>468701.63020000001</v>
      </c>
      <c r="C167">
        <v>486180.54440000001</v>
      </c>
      <c r="D167">
        <v>14585</v>
      </c>
      <c r="E167">
        <f t="shared" si="14"/>
        <v>32.135867685978745</v>
      </c>
      <c r="F167">
        <f t="shared" si="15"/>
        <v>-17478.914199999999</v>
      </c>
      <c r="G167">
        <f t="shared" si="16"/>
        <v>-3.7292198434516984E-2</v>
      </c>
      <c r="H167">
        <f t="shared" si="17"/>
        <v>-1.198417154610901</v>
      </c>
      <c r="I167">
        <f t="shared" si="18"/>
        <v>33.334284840589646</v>
      </c>
      <c r="J167" t="b">
        <f t="shared" si="19"/>
        <v>0</v>
      </c>
      <c r="K167">
        <f t="shared" si="20"/>
        <v>14585</v>
      </c>
    </row>
    <row r="168" spans="1:11" x14ac:dyDescent="0.3">
      <c r="A168" t="s">
        <v>98</v>
      </c>
      <c r="B168">
        <v>473425.75420000002</v>
      </c>
      <c r="C168">
        <v>492135.29229999997</v>
      </c>
      <c r="D168">
        <v>14745</v>
      </c>
      <c r="E168">
        <f t="shared" si="14"/>
        <v>32.107545215327228</v>
      </c>
      <c r="F168">
        <f t="shared" si="15"/>
        <v>-18709.538099999947</v>
      </c>
      <c r="G168">
        <f t="shared" si="16"/>
        <v>-3.951947677966005E-2</v>
      </c>
      <c r="H168">
        <f t="shared" si="17"/>
        <v>-1.2688733875890108</v>
      </c>
      <c r="I168">
        <f t="shared" si="18"/>
        <v>33.376418602916239</v>
      </c>
      <c r="J168" t="b">
        <f t="shared" si="19"/>
        <v>0</v>
      </c>
      <c r="K168">
        <f t="shared" si="20"/>
        <v>14745</v>
      </c>
    </row>
    <row r="169" spans="1:11" x14ac:dyDescent="0.3">
      <c r="A169" t="s">
        <v>99</v>
      </c>
      <c r="B169">
        <v>224232.1214</v>
      </c>
      <c r="C169">
        <v>233554.03219999999</v>
      </c>
      <c r="D169">
        <v>6991</v>
      </c>
      <c r="E169">
        <f t="shared" si="14"/>
        <v>32.074398712630526</v>
      </c>
      <c r="F169">
        <f t="shared" si="15"/>
        <v>-9321.9107999999833</v>
      </c>
      <c r="G169">
        <f t="shared" si="16"/>
        <v>-4.1572593354593235E-2</v>
      </c>
      <c r="H169">
        <f t="shared" si="17"/>
        <v>-1.3334159347732779</v>
      </c>
      <c r="I169">
        <f t="shared" si="18"/>
        <v>33.407814647403804</v>
      </c>
      <c r="J169" t="b">
        <f t="shared" si="19"/>
        <v>0</v>
      </c>
      <c r="K169">
        <f t="shared" si="20"/>
        <v>6991</v>
      </c>
    </row>
    <row r="170" spans="1:11" x14ac:dyDescent="0.3">
      <c r="A170" t="s">
        <v>100</v>
      </c>
      <c r="B170">
        <v>185606.27499999999</v>
      </c>
      <c r="C170">
        <v>193340.31539999999</v>
      </c>
      <c r="D170">
        <v>5788</v>
      </c>
      <c r="E170">
        <f t="shared" si="14"/>
        <v>32.067428299930889</v>
      </c>
      <c r="F170">
        <f t="shared" si="15"/>
        <v>-7734.040399999998</v>
      </c>
      <c r="G170">
        <f t="shared" si="16"/>
        <v>-4.1669067492464885E-2</v>
      </c>
      <c r="H170">
        <f t="shared" si="17"/>
        <v>-1.3362198341395981</v>
      </c>
      <c r="I170">
        <f t="shared" si="18"/>
        <v>33.403648134070487</v>
      </c>
      <c r="J170" t="b">
        <f t="shared" si="19"/>
        <v>0</v>
      </c>
      <c r="K170">
        <f t="shared" si="20"/>
        <v>5788</v>
      </c>
    </row>
    <row r="171" spans="1:11" x14ac:dyDescent="0.3">
      <c r="A171" t="s">
        <v>101</v>
      </c>
      <c r="B171">
        <v>212687.50940000001</v>
      </c>
      <c r="C171">
        <v>221403.64499999999</v>
      </c>
      <c r="D171">
        <v>6632</v>
      </c>
      <c r="E171">
        <f t="shared" si="14"/>
        <v>32.069889837153198</v>
      </c>
      <c r="F171">
        <f t="shared" si="15"/>
        <v>-8716.1355999999796</v>
      </c>
      <c r="G171">
        <f t="shared" si="16"/>
        <v>-4.0980947233754103E-2</v>
      </c>
      <c r="H171">
        <f t="shared" si="17"/>
        <v>-1.3142544632086839</v>
      </c>
      <c r="I171">
        <f t="shared" si="18"/>
        <v>33.384144300361882</v>
      </c>
      <c r="J171" t="b">
        <f t="shared" si="19"/>
        <v>0</v>
      </c>
      <c r="K171">
        <f t="shared" si="20"/>
        <v>6632</v>
      </c>
    </row>
    <row r="172" spans="1:11" x14ac:dyDescent="0.3">
      <c r="A172" t="s">
        <v>102</v>
      </c>
      <c r="B172">
        <v>184259.6924</v>
      </c>
      <c r="C172">
        <v>192057.51079999999</v>
      </c>
      <c r="D172">
        <v>5752</v>
      </c>
      <c r="E172">
        <f t="shared" si="14"/>
        <v>32.034021627260081</v>
      </c>
      <c r="F172">
        <f t="shared" si="15"/>
        <v>-7797.8183999999892</v>
      </c>
      <c r="G172">
        <f t="shared" si="16"/>
        <v>-4.2319718970723674E-2</v>
      </c>
      <c r="H172">
        <f t="shared" si="17"/>
        <v>-1.3556707927677323</v>
      </c>
      <c r="I172">
        <f t="shared" si="18"/>
        <v>33.389692420027814</v>
      </c>
      <c r="J172" t="b">
        <f t="shared" si="19"/>
        <v>0</v>
      </c>
      <c r="K172">
        <f t="shared" si="20"/>
        <v>5752</v>
      </c>
    </row>
    <row r="173" spans="1:11" x14ac:dyDescent="0.3">
      <c r="A173" t="s">
        <v>103</v>
      </c>
      <c r="B173">
        <v>113735.8162</v>
      </c>
      <c r="C173">
        <v>119544.01979999999</v>
      </c>
      <c r="D173">
        <v>3578</v>
      </c>
      <c r="E173">
        <f t="shared" si="14"/>
        <v>31.787539463387368</v>
      </c>
      <c r="F173">
        <f t="shared" si="15"/>
        <v>-5808.2035999999935</v>
      </c>
      <c r="G173">
        <f t="shared" si="16"/>
        <v>-5.1067498296108356E-2</v>
      </c>
      <c r="H173">
        <f t="shared" si="17"/>
        <v>-1.6233101173840083</v>
      </c>
      <c r="I173">
        <f t="shared" si="18"/>
        <v>33.410849580771377</v>
      </c>
      <c r="J173" t="b">
        <f t="shared" si="19"/>
        <v>0</v>
      </c>
      <c r="K173">
        <f t="shared" si="20"/>
        <v>3578</v>
      </c>
    </row>
    <row r="174" spans="1:11" x14ac:dyDescent="0.3">
      <c r="A174" t="s">
        <v>104</v>
      </c>
      <c r="B174">
        <v>203165.08300000001</v>
      </c>
      <c r="C174">
        <v>205350.64309999999</v>
      </c>
      <c r="D174">
        <v>6119</v>
      </c>
      <c r="E174">
        <f t="shared" si="14"/>
        <v>33.202334204935447</v>
      </c>
      <c r="F174">
        <f t="shared" si="15"/>
        <v>-2185.5600999999733</v>
      </c>
      <c r="G174">
        <f t="shared" si="16"/>
        <v>-1.0757557685244433E-2</v>
      </c>
      <c r="H174">
        <f t="shared" si="17"/>
        <v>-0.35717602549436123</v>
      </c>
      <c r="I174">
        <f t="shared" si="18"/>
        <v>33.559510230429808</v>
      </c>
      <c r="J174" t="b">
        <f t="shared" si="19"/>
        <v>0</v>
      </c>
      <c r="K174">
        <f t="shared" si="20"/>
        <v>6119</v>
      </c>
    </row>
    <row r="175" spans="1:11" x14ac:dyDescent="0.3">
      <c r="A175" t="s">
        <v>105</v>
      </c>
      <c r="B175">
        <v>203345.24460000001</v>
      </c>
      <c r="C175">
        <v>206918.91260000001</v>
      </c>
      <c r="D175">
        <v>6161</v>
      </c>
      <c r="E175">
        <f t="shared" si="14"/>
        <v>33.00523366336634</v>
      </c>
      <c r="F175">
        <f t="shared" si="15"/>
        <v>-3573.6680000000051</v>
      </c>
      <c r="G175">
        <f t="shared" si="16"/>
        <v>-1.7574386885858873E-2</v>
      </c>
      <c r="H175">
        <f t="shared" si="17"/>
        <v>-0.58004674565817282</v>
      </c>
      <c r="I175">
        <f t="shared" si="18"/>
        <v>33.585280409024513</v>
      </c>
      <c r="J175" t="b">
        <f t="shared" si="19"/>
        <v>0</v>
      </c>
      <c r="K175">
        <f t="shared" si="20"/>
        <v>6161</v>
      </c>
    </row>
    <row r="176" spans="1:11" x14ac:dyDescent="0.3">
      <c r="A176" t="s">
        <v>106</v>
      </c>
      <c r="B176">
        <v>134944.489</v>
      </c>
      <c r="C176">
        <v>135372.527</v>
      </c>
      <c r="D176">
        <v>4015</v>
      </c>
      <c r="E176">
        <f t="shared" si="14"/>
        <v>33.610084433374844</v>
      </c>
      <c r="F176">
        <f t="shared" si="15"/>
        <v>-428.03800000000047</v>
      </c>
      <c r="G176">
        <f t="shared" si="16"/>
        <v>-3.1719561367193031E-3</v>
      </c>
      <c r="H176">
        <f t="shared" si="17"/>
        <v>-0.10660971357409466</v>
      </c>
      <c r="I176">
        <f t="shared" si="18"/>
        <v>33.716694146948939</v>
      </c>
      <c r="J176" t="b">
        <f t="shared" si="19"/>
        <v>0</v>
      </c>
      <c r="K176">
        <f t="shared" si="20"/>
        <v>4015</v>
      </c>
    </row>
    <row r="177" spans="1:11" x14ac:dyDescent="0.3">
      <c r="A177" t="s">
        <v>107</v>
      </c>
      <c r="B177">
        <v>138298.2102</v>
      </c>
      <c r="C177">
        <v>139206.0269</v>
      </c>
      <c r="D177">
        <v>4133</v>
      </c>
      <c r="E177">
        <f t="shared" si="14"/>
        <v>33.461942947011856</v>
      </c>
      <c r="F177">
        <f t="shared" si="15"/>
        <v>-907.81669999999576</v>
      </c>
      <c r="G177">
        <f t="shared" si="16"/>
        <v>-6.5641970253060853E-3</v>
      </c>
      <c r="H177">
        <f t="shared" si="17"/>
        <v>-0.21965078635373914</v>
      </c>
      <c r="I177">
        <f t="shared" si="18"/>
        <v>33.681593733365595</v>
      </c>
      <c r="J177" t="b">
        <f t="shared" si="19"/>
        <v>0</v>
      </c>
      <c r="K177">
        <f t="shared" si="20"/>
        <v>4133</v>
      </c>
    </row>
    <row r="178" spans="1:11" x14ac:dyDescent="0.3">
      <c r="A178" t="s">
        <v>108</v>
      </c>
      <c r="B178">
        <v>36692.679859999997</v>
      </c>
      <c r="C178">
        <v>35299.06424</v>
      </c>
      <c r="D178">
        <v>1047</v>
      </c>
      <c r="E178">
        <f t="shared" si="14"/>
        <v>35.04553950334288</v>
      </c>
      <c r="F178">
        <f t="shared" si="15"/>
        <v>1393.6156199999969</v>
      </c>
      <c r="G178">
        <f t="shared" si="16"/>
        <v>3.7980753254254047E-2</v>
      </c>
      <c r="H178">
        <f t="shared" si="17"/>
        <v>1.3310559885386795</v>
      </c>
      <c r="I178">
        <f t="shared" si="18"/>
        <v>33.714483514804201</v>
      </c>
      <c r="J178" t="b">
        <f t="shared" si="19"/>
        <v>1</v>
      </c>
      <c r="K178">
        <f t="shared" si="20"/>
        <v>1047</v>
      </c>
    </row>
    <row r="179" spans="1:11" x14ac:dyDescent="0.3">
      <c r="A179" t="s">
        <v>109</v>
      </c>
      <c r="B179">
        <v>56077.542690000002</v>
      </c>
      <c r="C179">
        <v>53925.25763</v>
      </c>
      <c r="D179">
        <v>1601</v>
      </c>
      <c r="E179">
        <f t="shared" si="14"/>
        <v>35.026572573391633</v>
      </c>
      <c r="F179">
        <f t="shared" si="15"/>
        <v>2152.285060000002</v>
      </c>
      <c r="G179">
        <f t="shared" si="16"/>
        <v>3.8380516633868253E-2</v>
      </c>
      <c r="H179">
        <f t="shared" si="17"/>
        <v>1.3443379512804512</v>
      </c>
      <c r="I179">
        <f t="shared" si="18"/>
        <v>33.682234622111181</v>
      </c>
      <c r="J179" t="b">
        <f t="shared" si="19"/>
        <v>1</v>
      </c>
      <c r="K179">
        <f t="shared" si="20"/>
        <v>1601</v>
      </c>
    </row>
    <row r="180" spans="1:11" x14ac:dyDescent="0.3">
      <c r="A180" t="s">
        <v>110</v>
      </c>
      <c r="B180">
        <v>55780.707450000002</v>
      </c>
      <c r="C180">
        <v>53688.241199999997</v>
      </c>
      <c r="D180">
        <v>1592</v>
      </c>
      <c r="E180">
        <f t="shared" si="14"/>
        <v>35.038132820351763</v>
      </c>
      <c r="F180">
        <f t="shared" si="15"/>
        <v>2092.4662500000049</v>
      </c>
      <c r="G180">
        <f t="shared" si="16"/>
        <v>3.7512364859761289E-2</v>
      </c>
      <c r="H180">
        <f t="shared" si="17"/>
        <v>1.3143632223618127</v>
      </c>
      <c r="I180">
        <f t="shared" si="18"/>
        <v>33.72376959798995</v>
      </c>
      <c r="J180" t="b">
        <f t="shared" si="19"/>
        <v>1</v>
      </c>
      <c r="K180">
        <f t="shared" si="20"/>
        <v>1592</v>
      </c>
    </row>
    <row r="181" spans="1:11" x14ac:dyDescent="0.3">
      <c r="A181" t="s">
        <v>111</v>
      </c>
      <c r="B181">
        <v>131721.2383</v>
      </c>
      <c r="C181">
        <v>127302.4271</v>
      </c>
      <c r="D181">
        <v>3759</v>
      </c>
      <c r="E181">
        <f t="shared" si="14"/>
        <v>35.041563793562119</v>
      </c>
      <c r="F181">
        <f t="shared" si="15"/>
        <v>4418.8111999999965</v>
      </c>
      <c r="G181">
        <f t="shared" si="16"/>
        <v>3.3546687360590938E-2</v>
      </c>
      <c r="H181">
        <f t="shared" si="17"/>
        <v>1.1755283852088354</v>
      </c>
      <c r="I181">
        <f t="shared" si="18"/>
        <v>33.866035408353284</v>
      </c>
      <c r="J181" t="b">
        <f t="shared" si="19"/>
        <v>1</v>
      </c>
      <c r="K181">
        <f t="shared" si="20"/>
        <v>3759</v>
      </c>
    </row>
    <row r="182" spans="1:11" x14ac:dyDescent="0.3">
      <c r="A182" t="s">
        <v>112</v>
      </c>
      <c r="B182">
        <v>146169.0766</v>
      </c>
      <c r="C182">
        <v>141012.32939999999</v>
      </c>
      <c r="D182">
        <v>4172</v>
      </c>
      <c r="E182">
        <f t="shared" si="14"/>
        <v>35.03573264621285</v>
      </c>
      <c r="F182">
        <f t="shared" si="15"/>
        <v>5156.7472000000125</v>
      </c>
      <c r="G182">
        <f t="shared" si="16"/>
        <v>3.5279330758254325E-2</v>
      </c>
      <c r="H182">
        <f t="shared" si="17"/>
        <v>1.2360372003835138</v>
      </c>
      <c r="I182">
        <f t="shared" si="18"/>
        <v>33.799695445829336</v>
      </c>
      <c r="J182" t="b">
        <f t="shared" si="19"/>
        <v>1</v>
      </c>
      <c r="K182">
        <f t="shared" si="20"/>
        <v>4172</v>
      </c>
    </row>
    <row r="183" spans="1:11" x14ac:dyDescent="0.3">
      <c r="A183" t="s">
        <v>113</v>
      </c>
      <c r="B183">
        <v>62073.58541</v>
      </c>
      <c r="C183">
        <v>60083.869839999999</v>
      </c>
      <c r="D183">
        <v>1772</v>
      </c>
      <c r="E183">
        <f t="shared" si="14"/>
        <v>35.03024007336343</v>
      </c>
      <c r="F183">
        <f t="shared" si="15"/>
        <v>1989.7155700000003</v>
      </c>
      <c r="G183">
        <f t="shared" si="16"/>
        <v>3.2054142786465477E-2</v>
      </c>
      <c r="H183">
        <f t="shared" si="17"/>
        <v>1.1228643171557522</v>
      </c>
      <c r="I183">
        <f t="shared" si="18"/>
        <v>33.907375756207678</v>
      </c>
      <c r="J183" t="b">
        <f t="shared" si="19"/>
        <v>1</v>
      </c>
      <c r="K183">
        <f t="shared" si="20"/>
        <v>1772</v>
      </c>
    </row>
    <row r="184" spans="1:11" x14ac:dyDescent="0.3">
      <c r="A184" t="s">
        <v>114</v>
      </c>
      <c r="B184">
        <v>93619.846990000005</v>
      </c>
      <c r="C184">
        <v>90294.376090000005</v>
      </c>
      <c r="D184">
        <v>2672</v>
      </c>
      <c r="E184">
        <f t="shared" si="14"/>
        <v>35.037367885479043</v>
      </c>
      <c r="F184">
        <f t="shared" si="15"/>
        <v>3325.4709000000003</v>
      </c>
      <c r="G184">
        <f t="shared" si="16"/>
        <v>3.5521003365399755E-2</v>
      </c>
      <c r="H184">
        <f t="shared" si="17"/>
        <v>1.2445624625748479</v>
      </c>
      <c r="I184">
        <f t="shared" si="18"/>
        <v>33.792805422904195</v>
      </c>
      <c r="J184" t="b">
        <f t="shared" si="19"/>
        <v>1</v>
      </c>
      <c r="K184">
        <f t="shared" si="20"/>
        <v>2672</v>
      </c>
    </row>
    <row r="185" spans="1:11" x14ac:dyDescent="0.3">
      <c r="A185" s="1">
        <v>41646</v>
      </c>
      <c r="B185">
        <v>180183.03140000001</v>
      </c>
      <c r="C185">
        <v>173842.9209</v>
      </c>
      <c r="D185">
        <v>5143</v>
      </c>
      <c r="E185">
        <f t="shared" si="14"/>
        <v>35.034616255104027</v>
      </c>
      <c r="F185">
        <f t="shared" si="15"/>
        <v>6340.1105000000098</v>
      </c>
      <c r="G185">
        <f t="shared" si="16"/>
        <v>3.5187056465518035E-2</v>
      </c>
      <c r="H185">
        <f t="shared" si="17"/>
        <v>1.2327650204161031</v>
      </c>
      <c r="I185">
        <f t="shared" si="18"/>
        <v>33.801851234687923</v>
      </c>
      <c r="J185" t="b">
        <f t="shared" si="19"/>
        <v>1</v>
      </c>
      <c r="K185">
        <f t="shared" si="20"/>
        <v>5143</v>
      </c>
    </row>
    <row r="186" spans="1:11" x14ac:dyDescent="0.3">
      <c r="A186" s="1">
        <v>41677</v>
      </c>
      <c r="B186">
        <v>104760.7062</v>
      </c>
      <c r="C186">
        <v>101615.732</v>
      </c>
      <c r="D186">
        <v>2990</v>
      </c>
      <c r="E186">
        <f t="shared" si="14"/>
        <v>35.037025484949829</v>
      </c>
      <c r="F186">
        <f t="shared" si="15"/>
        <v>3144.9741999999969</v>
      </c>
      <c r="G186">
        <f t="shared" si="16"/>
        <v>3.002055173240133E-2</v>
      </c>
      <c r="H186">
        <f t="shared" si="17"/>
        <v>1.051830836120395</v>
      </c>
      <c r="I186">
        <f t="shared" si="18"/>
        <v>33.985194648829435</v>
      </c>
      <c r="J186" t="b">
        <f t="shared" si="19"/>
        <v>1</v>
      </c>
      <c r="K186">
        <f t="shared" si="20"/>
        <v>2990</v>
      </c>
    </row>
    <row r="187" spans="1:11" x14ac:dyDescent="0.3">
      <c r="A187" s="1">
        <v>41705</v>
      </c>
      <c r="B187">
        <v>93450.533679999993</v>
      </c>
      <c r="C187">
        <v>90927.089659999998</v>
      </c>
      <c r="D187">
        <v>2667</v>
      </c>
      <c r="E187">
        <f t="shared" si="14"/>
        <v>35.039570183727029</v>
      </c>
      <c r="F187">
        <f t="shared" si="15"/>
        <v>2523.4440199999954</v>
      </c>
      <c r="G187">
        <f t="shared" si="16"/>
        <v>2.7002992071088142E-2</v>
      </c>
      <c r="H187">
        <f t="shared" si="17"/>
        <v>0.94617323584551372</v>
      </c>
      <c r="I187">
        <f t="shared" si="18"/>
        <v>34.093396947881516</v>
      </c>
      <c r="J187" t="b">
        <f t="shared" si="19"/>
        <v>1</v>
      </c>
      <c r="K187">
        <f t="shared" si="20"/>
        <v>2667</v>
      </c>
    </row>
    <row r="188" spans="1:11" x14ac:dyDescent="0.3">
      <c r="A188" s="1">
        <v>41736</v>
      </c>
      <c r="B188">
        <v>98087.555900000007</v>
      </c>
      <c r="C188">
        <v>95423.273990000002</v>
      </c>
      <c r="D188">
        <v>2799</v>
      </c>
      <c r="E188">
        <f t="shared" si="14"/>
        <v>35.043785602000717</v>
      </c>
      <c r="F188">
        <f t="shared" si="15"/>
        <v>2664.2819100000052</v>
      </c>
      <c r="G188">
        <f t="shared" si="16"/>
        <v>2.716228257044383E-2</v>
      </c>
      <c r="H188">
        <f t="shared" si="17"/>
        <v>0.95186920685959819</v>
      </c>
      <c r="I188">
        <f t="shared" si="18"/>
        <v>34.091916395141119</v>
      </c>
      <c r="J188" t="b">
        <f t="shared" si="19"/>
        <v>1</v>
      </c>
      <c r="K188">
        <f t="shared" si="20"/>
        <v>2799</v>
      </c>
    </row>
    <row r="189" spans="1:11" x14ac:dyDescent="0.3">
      <c r="A189" s="1">
        <v>41766</v>
      </c>
      <c r="B189">
        <v>117562.2629</v>
      </c>
      <c r="C189">
        <v>114395.62760000001</v>
      </c>
      <c r="D189">
        <v>3355</v>
      </c>
      <c r="E189">
        <f t="shared" si="14"/>
        <v>35.040912935916545</v>
      </c>
      <c r="F189">
        <f t="shared" si="15"/>
        <v>3166.6352999999945</v>
      </c>
      <c r="G189">
        <f t="shared" si="16"/>
        <v>2.6935814451730791E-2</v>
      </c>
      <c r="H189">
        <f t="shared" si="17"/>
        <v>0.94385552906110348</v>
      </c>
      <c r="I189">
        <f t="shared" si="18"/>
        <v>34.097057406855441</v>
      </c>
      <c r="J189" t="b">
        <f t="shared" si="19"/>
        <v>1</v>
      </c>
      <c r="K189">
        <f t="shared" si="20"/>
        <v>3355</v>
      </c>
    </row>
    <row r="190" spans="1:11" x14ac:dyDescent="0.3">
      <c r="A190" s="1">
        <v>41797</v>
      </c>
      <c r="B190">
        <v>70153.080969999995</v>
      </c>
      <c r="C190">
        <v>68252.242209999997</v>
      </c>
      <c r="D190">
        <v>2002</v>
      </c>
      <c r="E190">
        <f t="shared" si="14"/>
        <v>35.041498986013984</v>
      </c>
      <c r="F190">
        <f t="shared" si="15"/>
        <v>1900.8387599999987</v>
      </c>
      <c r="G190">
        <f t="shared" si="16"/>
        <v>2.7095584879769805E-2</v>
      </c>
      <c r="H190">
        <f t="shared" si="17"/>
        <v>0.94946991008990977</v>
      </c>
      <c r="I190">
        <f t="shared" si="18"/>
        <v>34.092029075924074</v>
      </c>
      <c r="J190" t="b">
        <f t="shared" si="19"/>
        <v>1</v>
      </c>
      <c r="K190">
        <f t="shared" si="20"/>
        <v>2002</v>
      </c>
    </row>
    <row r="191" spans="1:11" x14ac:dyDescent="0.3">
      <c r="A191" s="1">
        <v>41827</v>
      </c>
      <c r="B191">
        <v>68918.415290000004</v>
      </c>
      <c r="C191">
        <v>66990.881349999996</v>
      </c>
      <c r="D191">
        <v>1967</v>
      </c>
      <c r="E191">
        <f t="shared" si="14"/>
        <v>35.0373234824606</v>
      </c>
      <c r="F191">
        <f t="shared" si="15"/>
        <v>1927.5339400000084</v>
      </c>
      <c r="G191">
        <f t="shared" si="16"/>
        <v>2.7968343901832168E-2</v>
      </c>
      <c r="H191">
        <f t="shared" si="17"/>
        <v>0.97993591255719537</v>
      </c>
      <c r="I191">
        <f t="shared" si="18"/>
        <v>34.057387569903405</v>
      </c>
      <c r="J191" t="b">
        <f t="shared" si="19"/>
        <v>1</v>
      </c>
      <c r="K191">
        <f t="shared" si="20"/>
        <v>1967</v>
      </c>
    </row>
    <row r="192" spans="1:11" x14ac:dyDescent="0.3">
      <c r="A192" s="1">
        <v>41858</v>
      </c>
      <c r="B192">
        <v>108417.4028</v>
      </c>
      <c r="C192">
        <v>105373.3</v>
      </c>
      <c r="D192">
        <v>3094</v>
      </c>
      <c r="E192">
        <f t="shared" si="14"/>
        <v>35.04117737556561</v>
      </c>
      <c r="F192">
        <f t="shared" si="15"/>
        <v>3044.1027999999933</v>
      </c>
      <c r="G192">
        <f t="shared" si="16"/>
        <v>2.807762150155467E-2</v>
      </c>
      <c r="H192">
        <f t="shared" si="17"/>
        <v>0.98387291531997079</v>
      </c>
      <c r="I192">
        <f t="shared" si="18"/>
        <v>34.057304460245639</v>
      </c>
      <c r="J192" t="b">
        <f t="shared" si="19"/>
        <v>1</v>
      </c>
      <c r="K192">
        <f t="shared" si="20"/>
        <v>3094</v>
      </c>
    </row>
    <row r="193" spans="1:11" x14ac:dyDescent="0.3">
      <c r="A193" s="1">
        <v>41889</v>
      </c>
      <c r="B193">
        <v>81802.608210000006</v>
      </c>
      <c r="C193">
        <v>79496.49424</v>
      </c>
      <c r="D193">
        <v>2335</v>
      </c>
      <c r="E193">
        <f t="shared" si="14"/>
        <v>35.033236920770882</v>
      </c>
      <c r="F193">
        <f t="shared" si="15"/>
        <v>2306.1139700000058</v>
      </c>
      <c r="G193">
        <f t="shared" si="16"/>
        <v>2.8191203440357953E-2</v>
      </c>
      <c r="H193">
        <f t="shared" si="17"/>
        <v>0.98762910920770963</v>
      </c>
      <c r="I193">
        <f t="shared" si="18"/>
        <v>34.045607811563173</v>
      </c>
      <c r="J193" t="b">
        <f t="shared" si="19"/>
        <v>1</v>
      </c>
      <c r="K193">
        <f t="shared" si="20"/>
        <v>2335</v>
      </c>
    </row>
    <row r="194" spans="1:11" x14ac:dyDescent="0.3">
      <c r="A194" s="1">
        <v>41919</v>
      </c>
      <c r="B194">
        <v>103998.5597</v>
      </c>
      <c r="C194">
        <v>101270.9711</v>
      </c>
      <c r="D194">
        <v>2968</v>
      </c>
      <c r="E194">
        <f t="shared" si="14"/>
        <v>35.039945990566039</v>
      </c>
      <c r="F194">
        <f t="shared" si="15"/>
        <v>2727.5886000000028</v>
      </c>
      <c r="G194">
        <f t="shared" si="16"/>
        <v>2.6227176682717106E-2</v>
      </c>
      <c r="H194">
        <f t="shared" si="17"/>
        <v>0.91899885444744456</v>
      </c>
      <c r="I194">
        <f t="shared" si="18"/>
        <v>34.120947136118595</v>
      </c>
      <c r="J194" t="b">
        <f t="shared" si="19"/>
        <v>1</v>
      </c>
      <c r="K194">
        <f t="shared" si="20"/>
        <v>2968</v>
      </c>
    </row>
    <row r="195" spans="1:11" x14ac:dyDescent="0.3">
      <c r="A195" s="1">
        <v>41950</v>
      </c>
      <c r="B195">
        <v>134018.08929999999</v>
      </c>
      <c r="C195">
        <v>130633.26270000001</v>
      </c>
      <c r="D195">
        <v>3825</v>
      </c>
      <c r="E195">
        <f t="shared" ref="E195:E258" si="21">B195/D195</f>
        <v>35.03740896732026</v>
      </c>
      <c r="F195">
        <f t="shared" ref="F195:F258" si="22">B195-C195</f>
        <v>3384.8265999999858</v>
      </c>
      <c r="G195">
        <f t="shared" ref="G195:H258" si="23">F195/B195</f>
        <v>2.5256490505718515E-2</v>
      </c>
      <c r="H195">
        <f t="shared" ref="H195:H258" si="24">E195-I195</f>
        <v>0.88492198692809865</v>
      </c>
      <c r="I195">
        <f t="shared" ref="I195:I258" si="25">C195/D195</f>
        <v>34.152486980392162</v>
      </c>
      <c r="J195" t="b">
        <f t="shared" ref="J195:J258" si="26">H195&gt;0</f>
        <v>1</v>
      </c>
      <c r="K195">
        <f t="shared" ref="K195:K258" si="27">D195</f>
        <v>3825</v>
      </c>
    </row>
    <row r="196" spans="1:11" x14ac:dyDescent="0.3">
      <c r="A196" s="1">
        <v>41980</v>
      </c>
      <c r="B196">
        <v>99277.299499999994</v>
      </c>
      <c r="C196">
        <v>96688.497810000001</v>
      </c>
      <c r="D196">
        <v>2833</v>
      </c>
      <c r="E196">
        <f t="shared" si="21"/>
        <v>35.043169608189196</v>
      </c>
      <c r="F196">
        <f t="shared" si="22"/>
        <v>2588.801689999993</v>
      </c>
      <c r="G196">
        <f t="shared" si="23"/>
        <v>2.6076471691295282E-2</v>
      </c>
      <c r="H196">
        <f t="shared" si="24"/>
        <v>0.9138022202612035</v>
      </c>
      <c r="I196">
        <f t="shared" si="25"/>
        <v>34.129367387927992</v>
      </c>
      <c r="J196" t="b">
        <f t="shared" si="26"/>
        <v>1</v>
      </c>
      <c r="K196">
        <f t="shared" si="27"/>
        <v>2833</v>
      </c>
    </row>
    <row r="197" spans="1:11" x14ac:dyDescent="0.3">
      <c r="A197" t="s">
        <v>115</v>
      </c>
      <c r="B197">
        <v>49705.232000000004</v>
      </c>
      <c r="C197">
        <v>48370.308989999998</v>
      </c>
      <c r="D197">
        <v>1419</v>
      </c>
      <c r="E197">
        <f t="shared" si="21"/>
        <v>35.028352360817479</v>
      </c>
      <c r="F197">
        <f t="shared" si="22"/>
        <v>1334.9230100000059</v>
      </c>
      <c r="G197">
        <f t="shared" si="23"/>
        <v>2.6856790649322507E-2</v>
      </c>
      <c r="H197">
        <f t="shared" si="24"/>
        <v>0.94074912614517814</v>
      </c>
      <c r="I197">
        <f t="shared" si="25"/>
        <v>34.087603234672301</v>
      </c>
      <c r="J197" t="b">
        <f t="shared" si="26"/>
        <v>1</v>
      </c>
      <c r="K197">
        <f t="shared" si="27"/>
        <v>1419</v>
      </c>
    </row>
    <row r="198" spans="1:11" x14ac:dyDescent="0.3">
      <c r="A198" t="s">
        <v>116</v>
      </c>
      <c r="B198">
        <v>75384.574550000005</v>
      </c>
      <c r="C198">
        <v>73393.446590000007</v>
      </c>
      <c r="D198">
        <v>2151</v>
      </c>
      <c r="E198">
        <f t="shared" si="21"/>
        <v>35.046292212924222</v>
      </c>
      <c r="F198">
        <f t="shared" si="22"/>
        <v>1991.127959999998</v>
      </c>
      <c r="G198">
        <f t="shared" si="23"/>
        <v>2.6412936225823639E-2</v>
      </c>
      <c r="H198">
        <f t="shared" si="24"/>
        <v>0.9256754811715453</v>
      </c>
      <c r="I198">
        <f t="shared" si="25"/>
        <v>34.120616731752676</v>
      </c>
      <c r="J198" t="b">
        <f t="shared" si="26"/>
        <v>1</v>
      </c>
      <c r="K198">
        <f t="shared" si="27"/>
        <v>2151</v>
      </c>
    </row>
    <row r="199" spans="1:11" x14ac:dyDescent="0.3">
      <c r="A199" t="s">
        <v>117</v>
      </c>
      <c r="B199">
        <v>110288.23420000001</v>
      </c>
      <c r="C199">
        <v>107437.38099999999</v>
      </c>
      <c r="D199">
        <v>3148</v>
      </c>
      <c r="E199">
        <f t="shared" si="21"/>
        <v>35.034381893265568</v>
      </c>
      <c r="F199">
        <f t="shared" si="22"/>
        <v>2850.8532000000123</v>
      </c>
      <c r="G199">
        <f t="shared" si="23"/>
        <v>2.5849114555866307E-2</v>
      </c>
      <c r="H199">
        <f t="shared" si="24"/>
        <v>0.90560775095298851</v>
      </c>
      <c r="I199">
        <f t="shared" si="25"/>
        <v>34.128774142312579</v>
      </c>
      <c r="J199" t="b">
        <f t="shared" si="26"/>
        <v>1</v>
      </c>
      <c r="K199">
        <f t="shared" si="27"/>
        <v>3148</v>
      </c>
    </row>
    <row r="200" spans="1:11" x14ac:dyDescent="0.3">
      <c r="A200" t="s">
        <v>118</v>
      </c>
      <c r="B200">
        <v>156536.6862</v>
      </c>
      <c r="C200">
        <v>164641.35399999999</v>
      </c>
      <c r="D200">
        <v>4825</v>
      </c>
      <c r="E200">
        <f t="shared" si="21"/>
        <v>32.442836518134712</v>
      </c>
      <c r="F200">
        <f t="shared" si="22"/>
        <v>-8104.6677999999956</v>
      </c>
      <c r="G200">
        <f t="shared" si="23"/>
        <v>-5.17748778049704E-2</v>
      </c>
      <c r="H200">
        <f t="shared" si="24"/>
        <v>-1.6797238963730621</v>
      </c>
      <c r="I200">
        <f t="shared" si="25"/>
        <v>34.122560414507774</v>
      </c>
      <c r="J200" t="b">
        <f t="shared" si="26"/>
        <v>0</v>
      </c>
      <c r="K200">
        <f t="shared" si="27"/>
        <v>4825</v>
      </c>
    </row>
    <row r="201" spans="1:11" x14ac:dyDescent="0.3">
      <c r="A201" t="s">
        <v>119</v>
      </c>
      <c r="B201">
        <v>80823.059200000003</v>
      </c>
      <c r="C201">
        <v>78844.860499999995</v>
      </c>
      <c r="D201">
        <v>2307</v>
      </c>
      <c r="E201">
        <f t="shared" si="21"/>
        <v>35.033835804074556</v>
      </c>
      <c r="F201">
        <f t="shared" si="22"/>
        <v>1978.1987000000081</v>
      </c>
      <c r="G201">
        <f t="shared" si="23"/>
        <v>2.4475672160650015E-2</v>
      </c>
      <c r="H201">
        <f t="shared" si="24"/>
        <v>0.85747667967056884</v>
      </c>
      <c r="I201">
        <f t="shared" si="25"/>
        <v>34.176359124403987</v>
      </c>
      <c r="J201" t="b">
        <f t="shared" si="26"/>
        <v>1</v>
      </c>
      <c r="K201">
        <f t="shared" si="27"/>
        <v>2307</v>
      </c>
    </row>
    <row r="202" spans="1:11" x14ac:dyDescent="0.3">
      <c r="A202" t="s">
        <v>120</v>
      </c>
      <c r="B202">
        <v>124615.6856</v>
      </c>
      <c r="C202">
        <v>121612.1789</v>
      </c>
      <c r="D202">
        <v>3557</v>
      </c>
      <c r="E202">
        <f t="shared" si="21"/>
        <v>35.033929041326957</v>
      </c>
      <c r="F202">
        <f t="shared" si="22"/>
        <v>3003.5066999999981</v>
      </c>
      <c r="G202">
        <f t="shared" si="23"/>
        <v>2.4102156045113458E-2</v>
      </c>
      <c r="H202">
        <f t="shared" si="24"/>
        <v>0.84439322462748834</v>
      </c>
      <c r="I202">
        <f t="shared" si="25"/>
        <v>34.189535816699468</v>
      </c>
      <c r="J202" t="b">
        <f t="shared" si="26"/>
        <v>1</v>
      </c>
      <c r="K202">
        <f t="shared" si="27"/>
        <v>3557</v>
      </c>
    </row>
    <row r="203" spans="1:11" x14ac:dyDescent="0.3">
      <c r="A203" t="s">
        <v>121</v>
      </c>
      <c r="B203">
        <v>242758.95050000001</v>
      </c>
      <c r="C203">
        <v>255779.85449999999</v>
      </c>
      <c r="D203">
        <v>7485</v>
      </c>
      <c r="E203">
        <f t="shared" si="21"/>
        <v>32.432725517702075</v>
      </c>
      <c r="F203">
        <f t="shared" si="22"/>
        <v>-13020.90399999998</v>
      </c>
      <c r="G203">
        <f t="shared" si="23"/>
        <v>-5.3637173719780024E-2</v>
      </c>
      <c r="H203">
        <f t="shared" si="24"/>
        <v>-1.7395997327989292</v>
      </c>
      <c r="I203">
        <f t="shared" si="25"/>
        <v>34.172325250501004</v>
      </c>
      <c r="J203" t="b">
        <f t="shared" si="26"/>
        <v>0</v>
      </c>
      <c r="K203">
        <f t="shared" si="27"/>
        <v>7485</v>
      </c>
    </row>
    <row r="204" spans="1:11" x14ac:dyDescent="0.3">
      <c r="A204" t="s">
        <v>122</v>
      </c>
      <c r="B204">
        <v>85078.243690000003</v>
      </c>
      <c r="C204">
        <v>83020.514129999996</v>
      </c>
      <c r="D204">
        <v>2428</v>
      </c>
      <c r="E204">
        <f t="shared" si="21"/>
        <v>35.040462804777597</v>
      </c>
      <c r="F204">
        <f t="shared" si="22"/>
        <v>2057.729560000007</v>
      </c>
      <c r="G204">
        <f t="shared" si="23"/>
        <v>2.4186319213379225E-2</v>
      </c>
      <c r="H204">
        <f t="shared" si="24"/>
        <v>0.84749981878089642</v>
      </c>
      <c r="I204">
        <f t="shared" si="25"/>
        <v>34.192962985996701</v>
      </c>
      <c r="J204" t="b">
        <f t="shared" si="26"/>
        <v>1</v>
      </c>
      <c r="K204">
        <f t="shared" si="27"/>
        <v>2428</v>
      </c>
    </row>
    <row r="205" spans="1:11" x14ac:dyDescent="0.3">
      <c r="A205" t="s">
        <v>123</v>
      </c>
      <c r="B205">
        <v>86738.067429999996</v>
      </c>
      <c r="C205">
        <v>84643.271829999998</v>
      </c>
      <c r="D205">
        <v>2475</v>
      </c>
      <c r="E205">
        <f t="shared" si="21"/>
        <v>35.045683810101011</v>
      </c>
      <c r="F205">
        <f t="shared" si="22"/>
        <v>2094.7955999999976</v>
      </c>
      <c r="G205">
        <f t="shared" si="23"/>
        <v>2.415082168726615E-2</v>
      </c>
      <c r="H205">
        <f t="shared" si="24"/>
        <v>0.8463820606060608</v>
      </c>
      <c r="I205">
        <f t="shared" si="25"/>
        <v>34.19930174949495</v>
      </c>
      <c r="J205" t="b">
        <f t="shared" si="26"/>
        <v>1</v>
      </c>
      <c r="K205">
        <f t="shared" si="27"/>
        <v>2475</v>
      </c>
    </row>
    <row r="206" spans="1:11" x14ac:dyDescent="0.3">
      <c r="A206" t="s">
        <v>124</v>
      </c>
      <c r="B206">
        <v>56673.615810000003</v>
      </c>
      <c r="C206">
        <v>55278.707829999999</v>
      </c>
      <c r="D206">
        <v>1618</v>
      </c>
      <c r="E206">
        <f t="shared" si="21"/>
        <v>35.026956619283069</v>
      </c>
      <c r="F206">
        <f t="shared" si="22"/>
        <v>1394.9079800000036</v>
      </c>
      <c r="G206">
        <f t="shared" si="23"/>
        <v>2.4613004835909436E-2</v>
      </c>
      <c r="H206">
        <f t="shared" si="24"/>
        <v>0.86211865265760679</v>
      </c>
      <c r="I206">
        <f t="shared" si="25"/>
        <v>34.164837966625463</v>
      </c>
      <c r="J206" t="b">
        <f t="shared" si="26"/>
        <v>1</v>
      </c>
      <c r="K206">
        <f t="shared" si="27"/>
        <v>1618</v>
      </c>
    </row>
    <row r="207" spans="1:11" x14ac:dyDescent="0.3">
      <c r="A207" t="s">
        <v>125</v>
      </c>
      <c r="B207">
        <v>165742.17050000001</v>
      </c>
      <c r="C207">
        <v>173725.35750000001</v>
      </c>
      <c r="D207">
        <v>5106</v>
      </c>
      <c r="E207">
        <f t="shared" si="21"/>
        <v>32.460276243634944</v>
      </c>
      <c r="F207">
        <f t="shared" si="22"/>
        <v>-7983.1870000000054</v>
      </c>
      <c r="G207">
        <f t="shared" si="23"/>
        <v>-4.8166299354695644E-2</v>
      </c>
      <c r="H207">
        <f t="shared" si="24"/>
        <v>-1.5634913826870331</v>
      </c>
      <c r="I207">
        <f t="shared" si="25"/>
        <v>34.023767626321977</v>
      </c>
      <c r="J207" t="b">
        <f t="shared" si="26"/>
        <v>0</v>
      </c>
      <c r="K207">
        <f t="shared" si="27"/>
        <v>5106</v>
      </c>
    </row>
    <row r="208" spans="1:11" x14ac:dyDescent="0.3">
      <c r="A208" t="s">
        <v>126</v>
      </c>
      <c r="B208">
        <v>95618.248800000001</v>
      </c>
      <c r="C208">
        <v>92416.903839999999</v>
      </c>
      <c r="D208">
        <v>2729</v>
      </c>
      <c r="E208">
        <f t="shared" si="21"/>
        <v>35.037833931843167</v>
      </c>
      <c r="F208">
        <f t="shared" si="22"/>
        <v>3201.3449600000022</v>
      </c>
      <c r="G208">
        <f t="shared" si="23"/>
        <v>3.3480480976974369E-2</v>
      </c>
      <c r="H208">
        <f t="shared" si="24"/>
        <v>1.1730835324294659</v>
      </c>
      <c r="I208">
        <f t="shared" si="25"/>
        <v>33.864750399413701</v>
      </c>
      <c r="J208" t="b">
        <f t="shared" si="26"/>
        <v>1</v>
      </c>
      <c r="K208">
        <f t="shared" si="27"/>
        <v>2729</v>
      </c>
    </row>
    <row r="209" spans="1:11" x14ac:dyDescent="0.3">
      <c r="A209" t="s">
        <v>127</v>
      </c>
      <c r="B209">
        <v>515698.79580000002</v>
      </c>
      <c r="C209">
        <v>538260.27179999999</v>
      </c>
      <c r="D209">
        <v>15897</v>
      </c>
      <c r="E209">
        <f t="shared" si="21"/>
        <v>32.440007284393282</v>
      </c>
      <c r="F209">
        <f t="shared" si="22"/>
        <v>-22561.475999999966</v>
      </c>
      <c r="G209">
        <f t="shared" si="23"/>
        <v>-4.3749328452474867E-2</v>
      </c>
      <c r="H209">
        <f t="shared" si="24"/>
        <v>-1.4192285336855974</v>
      </c>
      <c r="I209">
        <f t="shared" si="25"/>
        <v>33.859235818078879</v>
      </c>
      <c r="J209" t="b">
        <f t="shared" si="26"/>
        <v>0</v>
      </c>
      <c r="K209">
        <f t="shared" si="27"/>
        <v>15897</v>
      </c>
    </row>
    <row r="210" spans="1:11" x14ac:dyDescent="0.3">
      <c r="A210" t="s">
        <v>128</v>
      </c>
      <c r="B210">
        <v>562590.3665</v>
      </c>
      <c r="C210">
        <v>586670.51410000003</v>
      </c>
      <c r="D210">
        <v>17343</v>
      </c>
      <c r="E210">
        <f t="shared" si="21"/>
        <v>32.43904552268927</v>
      </c>
      <c r="F210">
        <f t="shared" si="22"/>
        <v>-24080.147600000026</v>
      </c>
      <c r="G210">
        <f t="shared" si="23"/>
        <v>-4.2802275036822955E-2</v>
      </c>
      <c r="H210">
        <f t="shared" si="24"/>
        <v>-1.3884649483941658</v>
      </c>
      <c r="I210">
        <f t="shared" si="25"/>
        <v>33.827510471083436</v>
      </c>
      <c r="J210" t="b">
        <f t="shared" si="26"/>
        <v>0</v>
      </c>
      <c r="K210">
        <f t="shared" si="27"/>
        <v>17343</v>
      </c>
    </row>
    <row r="211" spans="1:11" x14ac:dyDescent="0.3">
      <c r="A211" t="s">
        <v>129</v>
      </c>
      <c r="B211">
        <v>266305.92589999997</v>
      </c>
      <c r="C211">
        <v>277238.01040000003</v>
      </c>
      <c r="D211">
        <v>8207</v>
      </c>
      <c r="E211">
        <f t="shared" si="21"/>
        <v>32.448632374801996</v>
      </c>
      <c r="F211">
        <f t="shared" si="22"/>
        <v>-10932.084500000055</v>
      </c>
      <c r="G211">
        <f t="shared" si="23"/>
        <v>-4.1050849556029563E-2</v>
      </c>
      <c r="H211">
        <f t="shared" si="24"/>
        <v>-1.3320439259169063</v>
      </c>
      <c r="I211">
        <f t="shared" si="25"/>
        <v>33.780676300718902</v>
      </c>
      <c r="J211" t="b">
        <f t="shared" si="26"/>
        <v>0</v>
      </c>
      <c r="K211">
        <f t="shared" si="27"/>
        <v>8207</v>
      </c>
    </row>
    <row r="212" spans="1:11" x14ac:dyDescent="0.3">
      <c r="A212" t="s">
        <v>130</v>
      </c>
      <c r="B212">
        <v>292634.74570000003</v>
      </c>
      <c r="C212">
        <v>304508.37900000002</v>
      </c>
      <c r="D212">
        <v>9018</v>
      </c>
      <c r="E212">
        <f t="shared" si="21"/>
        <v>32.450071601241966</v>
      </c>
      <c r="F212">
        <f t="shared" si="22"/>
        <v>-11873.633299999987</v>
      </c>
      <c r="G212">
        <f t="shared" si="23"/>
        <v>-4.0574926506411729E-2</v>
      </c>
      <c r="H212">
        <f t="shared" si="24"/>
        <v>-1.3166592703481896</v>
      </c>
      <c r="I212">
        <f t="shared" si="25"/>
        <v>33.766730871590156</v>
      </c>
      <c r="J212" t="b">
        <f t="shared" si="26"/>
        <v>0</v>
      </c>
      <c r="K212">
        <f t="shared" si="27"/>
        <v>9018</v>
      </c>
    </row>
    <row r="213" spans="1:11" x14ac:dyDescent="0.3">
      <c r="A213" t="s">
        <v>131</v>
      </c>
      <c r="B213">
        <v>212360.99309999999</v>
      </c>
      <c r="C213">
        <v>221017.07310000001</v>
      </c>
      <c r="D213">
        <v>6548</v>
      </c>
      <c r="E213">
        <f t="shared" si="21"/>
        <v>32.431428390348195</v>
      </c>
      <c r="F213">
        <f t="shared" si="22"/>
        <v>-8656.0800000000163</v>
      </c>
      <c r="G213">
        <f t="shared" si="23"/>
        <v>-4.0761158033970492E-2</v>
      </c>
      <c r="H213">
        <f t="shared" si="24"/>
        <v>-1.3219425778863823</v>
      </c>
      <c r="I213">
        <f t="shared" si="25"/>
        <v>33.753370968234577</v>
      </c>
      <c r="J213" t="b">
        <f t="shared" si="26"/>
        <v>0</v>
      </c>
      <c r="K213">
        <f t="shared" si="27"/>
        <v>6548</v>
      </c>
    </row>
    <row r="214" spans="1:11" x14ac:dyDescent="0.3">
      <c r="A214" t="s">
        <v>132</v>
      </c>
      <c r="B214">
        <v>198019.3321</v>
      </c>
      <c r="C214">
        <v>205903.82490000001</v>
      </c>
      <c r="D214">
        <v>6102</v>
      </c>
      <c r="E214">
        <f t="shared" si="21"/>
        <v>32.451545739101931</v>
      </c>
      <c r="F214">
        <f t="shared" si="22"/>
        <v>-7884.4928000000073</v>
      </c>
      <c r="G214">
        <f t="shared" si="23"/>
        <v>-3.9816783121045619E-2</v>
      </c>
      <c r="H214">
        <f t="shared" si="24"/>
        <v>-1.2921161586365173</v>
      </c>
      <c r="I214">
        <f t="shared" si="25"/>
        <v>33.743661897738448</v>
      </c>
      <c r="J214" t="b">
        <f t="shared" si="26"/>
        <v>0</v>
      </c>
      <c r="K214">
        <f t="shared" si="27"/>
        <v>6102</v>
      </c>
    </row>
    <row r="215" spans="1:11" x14ac:dyDescent="0.3">
      <c r="A215" t="s">
        <v>133</v>
      </c>
      <c r="B215">
        <v>295508.3273</v>
      </c>
      <c r="C215">
        <v>307222.39539999998</v>
      </c>
      <c r="D215">
        <v>9108</v>
      </c>
      <c r="E215">
        <f t="shared" si="21"/>
        <v>32.444919554238034</v>
      </c>
      <c r="F215">
        <f t="shared" si="22"/>
        <v>-11714.068099999975</v>
      </c>
      <c r="G215">
        <f t="shared" si="23"/>
        <v>-3.9640399331650152E-2</v>
      </c>
      <c r="H215">
        <f t="shared" si="24"/>
        <v>-1.286129567413262</v>
      </c>
      <c r="I215">
        <f t="shared" si="25"/>
        <v>33.731049121651296</v>
      </c>
      <c r="J215" t="b">
        <f t="shared" si="26"/>
        <v>0</v>
      </c>
      <c r="K215">
        <f t="shared" si="27"/>
        <v>9108</v>
      </c>
    </row>
    <row r="216" spans="1:11" x14ac:dyDescent="0.3">
      <c r="A216" s="1">
        <v>41647</v>
      </c>
      <c r="B216">
        <v>611894.67319999996</v>
      </c>
      <c r="C216">
        <v>636341.31590000005</v>
      </c>
      <c r="D216">
        <v>18867</v>
      </c>
      <c r="E216">
        <f t="shared" si="21"/>
        <v>32.432006847935547</v>
      </c>
      <c r="F216">
        <f t="shared" si="22"/>
        <v>-24446.642700000084</v>
      </c>
      <c r="G216">
        <f t="shared" si="23"/>
        <v>-3.9952370515259593E-2</v>
      </c>
      <c r="H216">
        <f t="shared" si="24"/>
        <v>-1.2957355541421549</v>
      </c>
      <c r="I216">
        <f t="shared" si="25"/>
        <v>33.727742402077702</v>
      </c>
      <c r="J216" t="b">
        <f t="shared" si="26"/>
        <v>0</v>
      </c>
      <c r="K216">
        <f t="shared" si="27"/>
        <v>18867</v>
      </c>
    </row>
    <row r="217" spans="1:11" x14ac:dyDescent="0.3">
      <c r="A217" s="1">
        <v>41678</v>
      </c>
      <c r="B217">
        <v>628685.21880000003</v>
      </c>
      <c r="C217">
        <v>653779.96349999995</v>
      </c>
      <c r="D217">
        <v>19384</v>
      </c>
      <c r="E217">
        <f t="shared" si="21"/>
        <v>32.433203611225757</v>
      </c>
      <c r="F217">
        <f t="shared" si="22"/>
        <v>-25094.744699999923</v>
      </c>
      <c r="G217">
        <f t="shared" si="23"/>
        <v>-3.9916231445522768E-2</v>
      </c>
      <c r="H217">
        <f t="shared" si="24"/>
        <v>-1.2946112618654482</v>
      </c>
      <c r="I217">
        <f t="shared" si="25"/>
        <v>33.727814873091205</v>
      </c>
      <c r="J217" t="b">
        <f t="shared" si="26"/>
        <v>0</v>
      </c>
      <c r="K217">
        <f t="shared" si="27"/>
        <v>19384</v>
      </c>
    </row>
    <row r="218" spans="1:11" x14ac:dyDescent="0.3">
      <c r="A218" s="1">
        <v>41706</v>
      </c>
      <c r="B218">
        <v>307272.68369999999</v>
      </c>
      <c r="C218">
        <v>319500.00949999999</v>
      </c>
      <c r="D218">
        <v>9473</v>
      </c>
      <c r="E218">
        <f t="shared" si="21"/>
        <v>32.436681484218305</v>
      </c>
      <c r="F218">
        <f t="shared" si="22"/>
        <v>-12227.325799999991</v>
      </c>
      <c r="G218">
        <f t="shared" si="23"/>
        <v>-3.9793077773024287E-2</v>
      </c>
      <c r="H218">
        <f t="shared" si="24"/>
        <v>-1.2907553890003172</v>
      </c>
      <c r="I218">
        <f t="shared" si="25"/>
        <v>33.727436873218622</v>
      </c>
      <c r="J218" t="b">
        <f t="shared" si="26"/>
        <v>0</v>
      </c>
      <c r="K218">
        <f t="shared" si="27"/>
        <v>9473</v>
      </c>
    </row>
    <row r="219" spans="1:11" x14ac:dyDescent="0.3">
      <c r="A219" s="1">
        <v>41737</v>
      </c>
      <c r="B219">
        <v>362106.53259999998</v>
      </c>
      <c r="C219">
        <v>376645.75089999998</v>
      </c>
      <c r="D219">
        <v>11170</v>
      </c>
      <c r="E219">
        <f t="shared" si="21"/>
        <v>32.417773733213963</v>
      </c>
      <c r="F219">
        <f t="shared" si="22"/>
        <v>-14539.218300000008</v>
      </c>
      <c r="G219">
        <f t="shared" si="23"/>
        <v>-4.0151770241772237E-2</v>
      </c>
      <c r="H219">
        <f t="shared" si="24"/>
        <v>-1.3016310026857667</v>
      </c>
      <c r="I219">
        <f t="shared" si="25"/>
        <v>33.71940473589973</v>
      </c>
      <c r="J219" t="b">
        <f t="shared" si="26"/>
        <v>0</v>
      </c>
      <c r="K219">
        <f t="shared" si="27"/>
        <v>11170</v>
      </c>
    </row>
    <row r="220" spans="1:11" x14ac:dyDescent="0.3">
      <c r="A220" s="1">
        <v>41767</v>
      </c>
      <c r="B220">
        <v>262349.59100000001</v>
      </c>
      <c r="C220">
        <v>272809.2904</v>
      </c>
      <c r="D220">
        <v>8091</v>
      </c>
      <c r="E220">
        <f t="shared" si="21"/>
        <v>32.424866023977259</v>
      </c>
      <c r="F220">
        <f t="shared" si="22"/>
        <v>-10459.699399999983</v>
      </c>
      <c r="G220">
        <f t="shared" si="23"/>
        <v>-3.986931849266722E-2</v>
      </c>
      <c r="H220">
        <f t="shared" si="24"/>
        <v>-1.292757310592016</v>
      </c>
      <c r="I220">
        <f t="shared" si="25"/>
        <v>33.717623334569275</v>
      </c>
      <c r="J220" t="b">
        <f t="shared" si="26"/>
        <v>0</v>
      </c>
      <c r="K220">
        <f t="shared" si="27"/>
        <v>8091</v>
      </c>
    </row>
    <row r="221" spans="1:11" x14ac:dyDescent="0.3">
      <c r="A221" s="1">
        <v>41798</v>
      </c>
      <c r="B221">
        <v>80697.9035</v>
      </c>
      <c r="C221">
        <v>77649.636530000003</v>
      </c>
      <c r="D221">
        <v>2303</v>
      </c>
      <c r="E221">
        <f t="shared" si="21"/>
        <v>35.040340208423792</v>
      </c>
      <c r="F221">
        <f t="shared" si="22"/>
        <v>3048.2669699999969</v>
      </c>
      <c r="G221">
        <f t="shared" si="23"/>
        <v>3.7773806230294409E-2</v>
      </c>
      <c r="H221">
        <f t="shared" si="24"/>
        <v>1.3236070212765938</v>
      </c>
      <c r="I221">
        <f t="shared" si="25"/>
        <v>33.716733187147199</v>
      </c>
      <c r="J221" t="b">
        <f t="shared" si="26"/>
        <v>1</v>
      </c>
      <c r="K221">
        <f t="shared" si="27"/>
        <v>2303</v>
      </c>
    </row>
    <row r="222" spans="1:11" x14ac:dyDescent="0.3">
      <c r="A222" s="1">
        <v>41828</v>
      </c>
      <c r="B222">
        <v>103272.62270000001</v>
      </c>
      <c r="C222">
        <v>99367.233219999995</v>
      </c>
      <c r="D222">
        <v>2947</v>
      </c>
      <c r="E222">
        <f t="shared" si="21"/>
        <v>35.043305972175098</v>
      </c>
      <c r="F222">
        <f t="shared" si="22"/>
        <v>3905.3894800000126</v>
      </c>
      <c r="G222">
        <f t="shared" si="23"/>
        <v>3.7816309665581992E-2</v>
      </c>
      <c r="H222">
        <f t="shared" si="24"/>
        <v>1.3252085103495119</v>
      </c>
      <c r="I222">
        <f t="shared" si="25"/>
        <v>33.718097461825586</v>
      </c>
      <c r="J222" t="b">
        <f t="shared" si="26"/>
        <v>1</v>
      </c>
      <c r="K222">
        <f t="shared" si="27"/>
        <v>2947</v>
      </c>
    </row>
    <row r="223" spans="1:11" x14ac:dyDescent="0.3">
      <c r="A223" s="1">
        <v>41859</v>
      </c>
      <c r="B223">
        <v>439421.42210000003</v>
      </c>
      <c r="C223">
        <v>456509.62190000003</v>
      </c>
      <c r="D223">
        <v>13542</v>
      </c>
      <c r="E223">
        <f t="shared" si="21"/>
        <v>32.44878320041353</v>
      </c>
      <c r="F223">
        <f t="shared" si="22"/>
        <v>-17088.199800000002</v>
      </c>
      <c r="G223">
        <f t="shared" si="23"/>
        <v>-3.888795343280102E-2</v>
      </c>
      <c r="H223">
        <f t="shared" si="24"/>
        <v>-1.2618667700487407</v>
      </c>
      <c r="I223">
        <f t="shared" si="25"/>
        <v>33.710649970462271</v>
      </c>
      <c r="J223" t="b">
        <f t="shared" si="26"/>
        <v>0</v>
      </c>
      <c r="K223">
        <f t="shared" si="27"/>
        <v>13542</v>
      </c>
    </row>
    <row r="224" spans="1:11" x14ac:dyDescent="0.3">
      <c r="A224" s="1">
        <v>41890</v>
      </c>
      <c r="B224">
        <v>408616.35060000001</v>
      </c>
      <c r="C224">
        <v>424340.94939999998</v>
      </c>
      <c r="D224">
        <v>12588</v>
      </c>
      <c r="E224">
        <f t="shared" si="21"/>
        <v>32.460784127740709</v>
      </c>
      <c r="F224">
        <f t="shared" si="22"/>
        <v>-15724.598799999978</v>
      </c>
      <c r="G224">
        <f t="shared" si="23"/>
        <v>-3.8482549161115182E-2</v>
      </c>
      <c r="H224">
        <f t="shared" si="24"/>
        <v>-1.2491737210041265</v>
      </c>
      <c r="I224">
        <f t="shared" si="25"/>
        <v>33.709957848744835</v>
      </c>
      <c r="J224" t="b">
        <f t="shared" si="26"/>
        <v>0</v>
      </c>
      <c r="K224">
        <f t="shared" si="27"/>
        <v>12588</v>
      </c>
    </row>
    <row r="225" spans="1:11" x14ac:dyDescent="0.3">
      <c r="A225" s="1">
        <v>41920</v>
      </c>
      <c r="B225">
        <v>195866.77299999999</v>
      </c>
      <c r="C225">
        <v>203331.43479999999</v>
      </c>
      <c r="D225">
        <v>6032</v>
      </c>
      <c r="E225">
        <f t="shared" si="21"/>
        <v>32.471281996021219</v>
      </c>
      <c r="F225">
        <f t="shared" si="22"/>
        <v>-7464.6618000000017</v>
      </c>
      <c r="G225">
        <f t="shared" si="23"/>
        <v>-3.811091429989507E-2</v>
      </c>
      <c r="H225">
        <f t="shared" si="24"/>
        <v>-1.237510245358088</v>
      </c>
      <c r="I225">
        <f t="shared" si="25"/>
        <v>33.708792241379307</v>
      </c>
      <c r="J225" t="b">
        <f t="shared" si="26"/>
        <v>0</v>
      </c>
      <c r="K225">
        <f t="shared" si="27"/>
        <v>6032</v>
      </c>
    </row>
    <row r="226" spans="1:11" x14ac:dyDescent="0.3">
      <c r="A226" s="1">
        <v>41951</v>
      </c>
      <c r="B226">
        <v>232347.35320000001</v>
      </c>
      <c r="C226">
        <v>241134.52780000001</v>
      </c>
      <c r="D226">
        <v>7158</v>
      </c>
      <c r="E226">
        <f t="shared" si="21"/>
        <v>32.459814640961163</v>
      </c>
      <c r="F226">
        <f t="shared" si="22"/>
        <v>-8787.1745999999985</v>
      </c>
      <c r="G226">
        <f t="shared" si="23"/>
        <v>-3.7819129329337238E-2</v>
      </c>
      <c r="H226">
        <f t="shared" si="24"/>
        <v>-1.2276019279128292</v>
      </c>
      <c r="I226">
        <f t="shared" si="25"/>
        <v>33.687416568873992</v>
      </c>
      <c r="J226" t="b">
        <f t="shared" si="26"/>
        <v>0</v>
      </c>
      <c r="K226">
        <f t="shared" si="27"/>
        <v>7158</v>
      </c>
    </row>
    <row r="227" spans="1:11" x14ac:dyDescent="0.3">
      <c r="A227" s="1">
        <v>41981</v>
      </c>
      <c r="B227">
        <v>190325.18109999999</v>
      </c>
      <c r="C227">
        <v>197438.1116</v>
      </c>
      <c r="D227">
        <v>5863</v>
      </c>
      <c r="E227">
        <f t="shared" si="21"/>
        <v>32.462081033600541</v>
      </c>
      <c r="F227">
        <f t="shared" si="22"/>
        <v>-7112.9305000000168</v>
      </c>
      <c r="G227">
        <f t="shared" si="23"/>
        <v>-3.7372514025155533E-2</v>
      </c>
      <c r="H227">
        <f t="shared" si="24"/>
        <v>-1.2131895787139726</v>
      </c>
      <c r="I227">
        <f t="shared" si="25"/>
        <v>33.675270612314513</v>
      </c>
      <c r="J227" t="b">
        <f t="shared" si="26"/>
        <v>0</v>
      </c>
      <c r="K227">
        <f t="shared" si="27"/>
        <v>5863</v>
      </c>
    </row>
    <row r="228" spans="1:11" x14ac:dyDescent="0.3">
      <c r="A228" t="s">
        <v>134</v>
      </c>
      <c r="B228">
        <v>197698.11859999999</v>
      </c>
      <c r="C228">
        <v>205114.12890000001</v>
      </c>
      <c r="D228">
        <v>6092</v>
      </c>
      <c r="E228">
        <f t="shared" si="21"/>
        <v>32.452087754432043</v>
      </c>
      <c r="F228">
        <f t="shared" si="22"/>
        <v>-7416.0103000000236</v>
      </c>
      <c r="G228">
        <f t="shared" si="23"/>
        <v>-3.7511789957924382E-2</v>
      </c>
      <c r="H228">
        <f t="shared" si="24"/>
        <v>-1.2173358995403802</v>
      </c>
      <c r="I228">
        <f t="shared" si="25"/>
        <v>33.669423653972423</v>
      </c>
      <c r="J228" t="b">
        <f t="shared" si="26"/>
        <v>0</v>
      </c>
      <c r="K228">
        <f t="shared" si="27"/>
        <v>6092</v>
      </c>
    </row>
    <row r="229" spans="1:11" x14ac:dyDescent="0.3">
      <c r="A229" t="s">
        <v>135</v>
      </c>
      <c r="B229">
        <v>177908.83559999999</v>
      </c>
      <c r="C229">
        <v>184687.52910000001</v>
      </c>
      <c r="D229">
        <v>5485</v>
      </c>
      <c r="E229">
        <f t="shared" si="21"/>
        <v>32.435521531449403</v>
      </c>
      <c r="F229">
        <f t="shared" si="22"/>
        <v>-6778.6935000000231</v>
      </c>
      <c r="G229">
        <f t="shared" si="23"/>
        <v>-3.8102062087803486E-2</v>
      </c>
      <c r="H229">
        <f t="shared" si="24"/>
        <v>-1.2358602552415761</v>
      </c>
      <c r="I229">
        <f t="shared" si="25"/>
        <v>33.671381786690979</v>
      </c>
      <c r="J229" t="b">
        <f t="shared" si="26"/>
        <v>0</v>
      </c>
      <c r="K229">
        <f t="shared" si="27"/>
        <v>5485</v>
      </c>
    </row>
    <row r="230" spans="1:11" x14ac:dyDescent="0.3">
      <c r="A230" t="s">
        <v>136</v>
      </c>
      <c r="B230">
        <v>473321.88250000001</v>
      </c>
      <c r="C230">
        <v>491559.42300000001</v>
      </c>
      <c r="D230">
        <v>14587</v>
      </c>
      <c r="E230">
        <f t="shared" si="21"/>
        <v>32.448199252759309</v>
      </c>
      <c r="F230">
        <f t="shared" si="22"/>
        <v>-18237.540500000003</v>
      </c>
      <c r="G230">
        <f t="shared" si="23"/>
        <v>-3.8530947277722792E-2</v>
      </c>
      <c r="H230">
        <f t="shared" si="24"/>
        <v>-1.25025985466511</v>
      </c>
      <c r="I230">
        <f t="shared" si="25"/>
        <v>33.698459107424419</v>
      </c>
      <c r="J230" t="b">
        <f t="shared" si="26"/>
        <v>0</v>
      </c>
      <c r="K230">
        <f t="shared" si="27"/>
        <v>14587</v>
      </c>
    </row>
    <row r="231" spans="1:11" x14ac:dyDescent="0.3">
      <c r="A231" t="s">
        <v>137</v>
      </c>
      <c r="B231">
        <v>541600.8922</v>
      </c>
      <c r="C231">
        <v>562953.37080000003</v>
      </c>
      <c r="D231">
        <v>16686</v>
      </c>
      <c r="E231">
        <f t="shared" si="21"/>
        <v>32.458401785928324</v>
      </c>
      <c r="F231">
        <f t="shared" si="22"/>
        <v>-21352.478600000031</v>
      </c>
      <c r="G231">
        <f t="shared" si="23"/>
        <v>-3.9424747830945378E-2</v>
      </c>
      <c r="H231">
        <f t="shared" si="24"/>
        <v>-1.2796643054057313</v>
      </c>
      <c r="I231">
        <f t="shared" si="25"/>
        <v>33.738066091334055</v>
      </c>
      <c r="J231" t="b">
        <f t="shared" si="26"/>
        <v>0</v>
      </c>
      <c r="K231">
        <f t="shared" si="27"/>
        <v>16686</v>
      </c>
    </row>
    <row r="232" spans="1:11" x14ac:dyDescent="0.3">
      <c r="A232" t="s">
        <v>138</v>
      </c>
      <c r="B232">
        <v>239513.97899999999</v>
      </c>
      <c r="C232">
        <v>249203.1208</v>
      </c>
      <c r="D232">
        <v>7380</v>
      </c>
      <c r="E232">
        <f t="shared" si="21"/>
        <v>32.45446869918699</v>
      </c>
      <c r="F232">
        <f t="shared" si="22"/>
        <v>-9689.1418000000122</v>
      </c>
      <c r="G232">
        <f t="shared" si="23"/>
        <v>-4.0453345731440639E-2</v>
      </c>
      <c r="H232">
        <f t="shared" si="24"/>
        <v>-1.3128918428184306</v>
      </c>
      <c r="I232">
        <f t="shared" si="25"/>
        <v>33.76736054200542</v>
      </c>
      <c r="J232" t="b">
        <f t="shared" si="26"/>
        <v>0</v>
      </c>
      <c r="K232">
        <f t="shared" si="27"/>
        <v>7380</v>
      </c>
    </row>
    <row r="233" spans="1:11" x14ac:dyDescent="0.3">
      <c r="A233" t="s">
        <v>139</v>
      </c>
      <c r="B233">
        <v>255224.22260000001</v>
      </c>
      <c r="C233">
        <v>265532.54619999998</v>
      </c>
      <c r="D233">
        <v>7864</v>
      </c>
      <c r="E233">
        <f t="shared" si="21"/>
        <v>32.454758723296031</v>
      </c>
      <c r="F233">
        <f t="shared" si="22"/>
        <v>-10308.323599999974</v>
      </c>
      <c r="G233">
        <f t="shared" si="23"/>
        <v>-4.0389283959758347E-2</v>
      </c>
      <c r="H233">
        <f t="shared" si="24"/>
        <v>-1.3108244659206534</v>
      </c>
      <c r="I233">
        <f t="shared" si="25"/>
        <v>33.765583189216684</v>
      </c>
      <c r="J233" t="b">
        <f t="shared" si="26"/>
        <v>0</v>
      </c>
      <c r="K233">
        <f t="shared" si="27"/>
        <v>7864</v>
      </c>
    </row>
    <row r="234" spans="1:11" x14ac:dyDescent="0.3">
      <c r="A234" t="s">
        <v>140</v>
      </c>
      <c r="B234">
        <v>160372.03969999999</v>
      </c>
      <c r="C234">
        <v>167021.15779999999</v>
      </c>
      <c r="D234">
        <v>4941</v>
      </c>
      <c r="E234">
        <f t="shared" si="21"/>
        <v>32.457405322809144</v>
      </c>
      <c r="F234">
        <f t="shared" si="22"/>
        <v>-6649.1180999999924</v>
      </c>
      <c r="G234">
        <f t="shared" si="23"/>
        <v>-4.1460581984479133E-2</v>
      </c>
      <c r="H234">
        <f t="shared" si="24"/>
        <v>-1.3457029143897969</v>
      </c>
      <c r="I234">
        <f t="shared" si="25"/>
        <v>33.803108237198941</v>
      </c>
      <c r="J234" t="b">
        <f t="shared" si="26"/>
        <v>0</v>
      </c>
      <c r="K234">
        <f t="shared" si="27"/>
        <v>4941</v>
      </c>
    </row>
    <row r="235" spans="1:11" x14ac:dyDescent="0.3">
      <c r="A235" t="s">
        <v>141</v>
      </c>
      <c r="B235">
        <v>171587.33230000001</v>
      </c>
      <c r="C235">
        <v>174723.17540000001</v>
      </c>
      <c r="D235">
        <v>5151</v>
      </c>
      <c r="E235">
        <f t="shared" si="21"/>
        <v>33.311460357212191</v>
      </c>
      <c r="F235">
        <f t="shared" si="22"/>
        <v>-3135.8430999999982</v>
      </c>
      <c r="G235">
        <f t="shared" si="23"/>
        <v>-1.8275493056313447E-2</v>
      </c>
      <c r="H235">
        <f t="shared" si="24"/>
        <v>-0.60878336245389164</v>
      </c>
      <c r="I235">
        <f t="shared" si="25"/>
        <v>33.920243719666082</v>
      </c>
      <c r="J235" t="b">
        <f t="shared" si="26"/>
        <v>0</v>
      </c>
      <c r="K235">
        <f t="shared" si="27"/>
        <v>5151</v>
      </c>
    </row>
    <row r="236" spans="1:11" x14ac:dyDescent="0.3">
      <c r="A236" t="s">
        <v>142</v>
      </c>
      <c r="B236">
        <v>164208.0606</v>
      </c>
      <c r="C236">
        <v>167239.6488</v>
      </c>
      <c r="D236">
        <v>4928</v>
      </c>
      <c r="E236">
        <f t="shared" si="21"/>
        <v>33.321440868506492</v>
      </c>
      <c r="F236">
        <f t="shared" si="22"/>
        <v>-3031.5881999999983</v>
      </c>
      <c r="G236">
        <f t="shared" si="23"/>
        <v>-1.8461872023351807E-2</v>
      </c>
      <c r="H236">
        <f t="shared" si="24"/>
        <v>-0.61517617694805438</v>
      </c>
      <c r="I236">
        <f t="shared" si="25"/>
        <v>33.936617045454547</v>
      </c>
      <c r="J236" t="b">
        <f t="shared" si="26"/>
        <v>0</v>
      </c>
      <c r="K236">
        <f t="shared" si="27"/>
        <v>4928</v>
      </c>
    </row>
    <row r="237" spans="1:11" x14ac:dyDescent="0.3">
      <c r="A237" t="s">
        <v>143</v>
      </c>
      <c r="B237">
        <v>376778.8357</v>
      </c>
      <c r="C237">
        <v>384006.0453</v>
      </c>
      <c r="D237">
        <v>11309</v>
      </c>
      <c r="E237">
        <f t="shared" si="21"/>
        <v>33.316724352285789</v>
      </c>
      <c r="F237">
        <f t="shared" si="22"/>
        <v>-7227.209600000002</v>
      </c>
      <c r="G237">
        <f t="shared" si="23"/>
        <v>-1.9181569969483298E-2</v>
      </c>
      <c r="H237">
        <f t="shared" si="24"/>
        <v>-0.63906707931735696</v>
      </c>
      <c r="I237">
        <f t="shared" si="25"/>
        <v>33.955791431603146</v>
      </c>
      <c r="J237" t="b">
        <f t="shared" si="26"/>
        <v>0</v>
      </c>
      <c r="K237">
        <f t="shared" si="27"/>
        <v>11309</v>
      </c>
    </row>
    <row r="238" spans="1:11" x14ac:dyDescent="0.3">
      <c r="A238" t="s">
        <v>144</v>
      </c>
      <c r="B238">
        <v>453633.47399999999</v>
      </c>
      <c r="C238">
        <v>463250.07130000001</v>
      </c>
      <c r="D238">
        <v>13613</v>
      </c>
      <c r="E238">
        <f t="shared" si="21"/>
        <v>33.323549107470797</v>
      </c>
      <c r="F238">
        <f t="shared" si="22"/>
        <v>-9616.5973000000231</v>
      </c>
      <c r="G238">
        <f t="shared" si="23"/>
        <v>-2.1199046920421977E-2</v>
      </c>
      <c r="H238">
        <f t="shared" si="24"/>
        <v>-0.7064274810842619</v>
      </c>
      <c r="I238">
        <f t="shared" si="25"/>
        <v>34.029976588555058</v>
      </c>
      <c r="J238" t="b">
        <f t="shared" si="26"/>
        <v>0</v>
      </c>
      <c r="K238">
        <f t="shared" si="27"/>
        <v>13613</v>
      </c>
    </row>
    <row r="239" spans="1:11" x14ac:dyDescent="0.3">
      <c r="A239" t="s">
        <v>145</v>
      </c>
      <c r="B239">
        <v>214392.40090000001</v>
      </c>
      <c r="C239">
        <v>218347.7978</v>
      </c>
      <c r="D239">
        <v>6424</v>
      </c>
      <c r="E239">
        <f t="shared" si="21"/>
        <v>33.37366141033624</v>
      </c>
      <c r="F239">
        <f t="shared" si="22"/>
        <v>-3955.3968999999925</v>
      </c>
      <c r="G239">
        <f t="shared" si="23"/>
        <v>-1.8449333481017016E-2</v>
      </c>
      <c r="H239">
        <f t="shared" si="24"/>
        <v>-0.61572180884184036</v>
      </c>
      <c r="I239">
        <f t="shared" si="25"/>
        <v>33.98938321917808</v>
      </c>
      <c r="J239" t="b">
        <f t="shared" si="26"/>
        <v>0</v>
      </c>
      <c r="K239">
        <f t="shared" si="27"/>
        <v>6424</v>
      </c>
    </row>
    <row r="240" spans="1:11" x14ac:dyDescent="0.3">
      <c r="A240" t="s">
        <v>146</v>
      </c>
      <c r="B240">
        <v>316404.06229999999</v>
      </c>
      <c r="C240">
        <v>323293.39659999998</v>
      </c>
      <c r="D240">
        <v>9493</v>
      </c>
      <c r="E240">
        <f t="shared" si="21"/>
        <v>33.330249899926258</v>
      </c>
      <c r="F240">
        <f t="shared" si="22"/>
        <v>-6889.3342999999877</v>
      </c>
      <c r="G240">
        <f t="shared" si="23"/>
        <v>-2.1773849077411127E-2</v>
      </c>
      <c r="H240">
        <f t="shared" si="24"/>
        <v>-0.72572783103339589</v>
      </c>
      <c r="I240">
        <f t="shared" si="25"/>
        <v>34.055977730959654</v>
      </c>
      <c r="J240" t="b">
        <f t="shared" si="26"/>
        <v>0</v>
      </c>
      <c r="K240">
        <f t="shared" si="27"/>
        <v>9493</v>
      </c>
    </row>
    <row r="241" spans="1:11" x14ac:dyDescent="0.3">
      <c r="A241" t="s">
        <v>147</v>
      </c>
      <c r="B241">
        <v>242824.5013</v>
      </c>
      <c r="C241">
        <v>259860.51250000001</v>
      </c>
      <c r="D241">
        <v>7619</v>
      </c>
      <c r="E241">
        <f t="shared" si="21"/>
        <v>31.87091498884368</v>
      </c>
      <c r="F241">
        <f t="shared" si="22"/>
        <v>-17036.011200000008</v>
      </c>
      <c r="G241">
        <f t="shared" si="23"/>
        <v>-7.0157711057965658E-2</v>
      </c>
      <c r="H241">
        <f t="shared" si="24"/>
        <v>-2.2359904449402848</v>
      </c>
      <c r="I241">
        <f t="shared" si="25"/>
        <v>34.106905433783965</v>
      </c>
      <c r="J241" t="b">
        <f t="shared" si="26"/>
        <v>0</v>
      </c>
      <c r="K241">
        <f t="shared" si="27"/>
        <v>7619</v>
      </c>
    </row>
    <row r="242" spans="1:11" x14ac:dyDescent="0.3">
      <c r="A242" t="s">
        <v>148</v>
      </c>
      <c r="B242">
        <v>274712.25329999998</v>
      </c>
      <c r="C242">
        <v>304334.78460000001</v>
      </c>
      <c r="D242">
        <v>8909</v>
      </c>
      <c r="E242">
        <f t="shared" si="21"/>
        <v>30.835363486362105</v>
      </c>
      <c r="F242">
        <f t="shared" si="22"/>
        <v>-29622.531300000031</v>
      </c>
      <c r="G242">
        <f t="shared" si="23"/>
        <v>-0.10783112491036465</v>
      </c>
      <c r="H242">
        <f t="shared" si="24"/>
        <v>-3.3250119317544105</v>
      </c>
      <c r="I242">
        <f t="shared" si="25"/>
        <v>34.160375418116516</v>
      </c>
      <c r="J242" t="b">
        <f t="shared" si="26"/>
        <v>0</v>
      </c>
      <c r="K242">
        <f t="shared" si="27"/>
        <v>8909</v>
      </c>
    </row>
    <row r="243" spans="1:11" x14ac:dyDescent="0.3">
      <c r="A243" t="s">
        <v>149</v>
      </c>
      <c r="B243">
        <v>258066.16940000001</v>
      </c>
      <c r="C243">
        <v>287168.5661</v>
      </c>
      <c r="D243">
        <v>8400</v>
      </c>
      <c r="E243">
        <f t="shared" si="21"/>
        <v>30.722163023809525</v>
      </c>
      <c r="F243">
        <f t="shared" si="22"/>
        <v>-29102.396699999983</v>
      </c>
      <c r="G243">
        <f t="shared" si="23"/>
        <v>-0.11277106475313142</v>
      </c>
      <c r="H243">
        <f t="shared" si="24"/>
        <v>-3.4645710357142825</v>
      </c>
      <c r="I243">
        <f t="shared" si="25"/>
        <v>34.186734059523808</v>
      </c>
      <c r="J243" t="b">
        <f t="shared" si="26"/>
        <v>0</v>
      </c>
      <c r="K243">
        <f t="shared" si="27"/>
        <v>8400</v>
      </c>
    </row>
    <row r="244" spans="1:11" x14ac:dyDescent="0.3">
      <c r="A244" t="s">
        <v>150</v>
      </c>
      <c r="B244">
        <v>594007.2132</v>
      </c>
      <c r="C244">
        <v>660937.80480000004</v>
      </c>
      <c r="D244">
        <v>19317</v>
      </c>
      <c r="E244">
        <f t="shared" si="21"/>
        <v>30.750489889734432</v>
      </c>
      <c r="F244">
        <f t="shared" si="22"/>
        <v>-66930.591600000043</v>
      </c>
      <c r="G244">
        <f t="shared" si="23"/>
        <v>-0.11267639535795462</v>
      </c>
      <c r="H244">
        <f t="shared" si="24"/>
        <v>-3.4648543562664997</v>
      </c>
      <c r="I244">
        <f t="shared" si="25"/>
        <v>34.215344246000932</v>
      </c>
      <c r="J244" t="b">
        <f t="shared" si="26"/>
        <v>0</v>
      </c>
      <c r="K244">
        <f t="shared" si="27"/>
        <v>19317</v>
      </c>
    </row>
    <row r="245" spans="1:11" x14ac:dyDescent="0.3">
      <c r="A245" t="s">
        <v>151</v>
      </c>
      <c r="B245">
        <v>717096.71279999998</v>
      </c>
      <c r="C245">
        <v>797788.89199999999</v>
      </c>
      <c r="D245">
        <v>23310</v>
      </c>
      <c r="E245">
        <f t="shared" si="21"/>
        <v>30.763479742599742</v>
      </c>
      <c r="F245">
        <f t="shared" si="22"/>
        <v>-80692.179200000013</v>
      </c>
      <c r="G245">
        <f t="shared" si="23"/>
        <v>-0.1125262154457892</v>
      </c>
      <c r="H245">
        <f t="shared" si="24"/>
        <v>-3.4616979493779496</v>
      </c>
      <c r="I245">
        <f t="shared" si="25"/>
        <v>34.225177691977692</v>
      </c>
      <c r="J245" t="b">
        <f t="shared" si="26"/>
        <v>0</v>
      </c>
      <c r="K245">
        <f t="shared" si="27"/>
        <v>23310</v>
      </c>
    </row>
    <row r="246" spans="1:11" x14ac:dyDescent="0.3">
      <c r="A246" t="s">
        <v>152</v>
      </c>
      <c r="B246">
        <v>358170.9963</v>
      </c>
      <c r="C246">
        <v>398562.60739999998</v>
      </c>
      <c r="D246">
        <v>11646</v>
      </c>
      <c r="E246">
        <f t="shared" si="21"/>
        <v>30.754851133436372</v>
      </c>
      <c r="F246">
        <f t="shared" si="22"/>
        <v>-40391.61109999998</v>
      </c>
      <c r="G246">
        <f t="shared" si="23"/>
        <v>-0.11277186460449305</v>
      </c>
      <c r="H246">
        <f t="shared" si="24"/>
        <v>-3.4682819079512264</v>
      </c>
      <c r="I246">
        <f t="shared" si="25"/>
        <v>34.223133041387598</v>
      </c>
      <c r="J246" t="b">
        <f t="shared" si="26"/>
        <v>0</v>
      </c>
      <c r="K246">
        <f t="shared" si="27"/>
        <v>11646</v>
      </c>
    </row>
    <row r="247" spans="1:11" x14ac:dyDescent="0.3">
      <c r="A247" s="1">
        <v>41648</v>
      </c>
      <c r="B247">
        <v>594953.63489999995</v>
      </c>
      <c r="C247">
        <v>662850.99080000003</v>
      </c>
      <c r="D247">
        <v>19366</v>
      </c>
      <c r="E247">
        <f t="shared" si="21"/>
        <v>30.721555039760403</v>
      </c>
      <c r="F247">
        <f t="shared" si="22"/>
        <v>-67897.355900000082</v>
      </c>
      <c r="G247">
        <f t="shared" si="23"/>
        <v>-0.11412209610487092</v>
      </c>
      <c r="H247">
        <f t="shared" si="24"/>
        <v>-3.5060082567386175</v>
      </c>
      <c r="I247">
        <f t="shared" si="25"/>
        <v>34.227563296499021</v>
      </c>
      <c r="J247" t="b">
        <f t="shared" si="26"/>
        <v>0</v>
      </c>
      <c r="K247">
        <f t="shared" si="27"/>
        <v>19366</v>
      </c>
    </row>
    <row r="248" spans="1:11" x14ac:dyDescent="0.3">
      <c r="A248" s="1">
        <v>41679</v>
      </c>
      <c r="B248">
        <v>469469.94099999999</v>
      </c>
      <c r="C248">
        <v>523480.30330000003</v>
      </c>
      <c r="D248">
        <v>15291</v>
      </c>
      <c r="E248">
        <f t="shared" si="21"/>
        <v>30.702370086979268</v>
      </c>
      <c r="F248">
        <f t="shared" si="22"/>
        <v>-54010.362300000037</v>
      </c>
      <c r="G248">
        <f t="shared" si="23"/>
        <v>-0.11504541096913388</v>
      </c>
      <c r="H248">
        <f t="shared" si="24"/>
        <v>-3.5321667843829694</v>
      </c>
      <c r="I248">
        <f t="shared" si="25"/>
        <v>34.234536871362238</v>
      </c>
      <c r="J248" t="b">
        <f t="shared" si="26"/>
        <v>0</v>
      </c>
      <c r="K248">
        <f t="shared" si="27"/>
        <v>15291</v>
      </c>
    </row>
    <row r="249" spans="1:11" x14ac:dyDescent="0.3">
      <c r="A249" s="1">
        <v>41707</v>
      </c>
      <c r="B249">
        <v>464067.79930000001</v>
      </c>
      <c r="C249">
        <v>517180.54330000002</v>
      </c>
      <c r="D249">
        <v>15100</v>
      </c>
      <c r="E249">
        <f t="shared" si="21"/>
        <v>30.732966841059604</v>
      </c>
      <c r="F249">
        <f t="shared" si="22"/>
        <v>-53112.744000000006</v>
      </c>
      <c r="G249">
        <f t="shared" si="23"/>
        <v>-0.1144503972913339</v>
      </c>
      <c r="H249">
        <f t="shared" si="24"/>
        <v>-3.5174002649006617</v>
      </c>
      <c r="I249">
        <f t="shared" si="25"/>
        <v>34.250367105960265</v>
      </c>
      <c r="J249" t="b">
        <f t="shared" si="26"/>
        <v>0</v>
      </c>
      <c r="K249">
        <f t="shared" si="27"/>
        <v>15100</v>
      </c>
    </row>
    <row r="250" spans="1:11" x14ac:dyDescent="0.3">
      <c r="A250" s="1">
        <v>41738</v>
      </c>
      <c r="B250">
        <v>312311.95400000003</v>
      </c>
      <c r="C250">
        <v>348177.12050000002</v>
      </c>
      <c r="D250">
        <v>10164</v>
      </c>
      <c r="E250">
        <f t="shared" si="21"/>
        <v>30.727268201495477</v>
      </c>
      <c r="F250">
        <f t="shared" si="22"/>
        <v>-35865.166499999992</v>
      </c>
      <c r="G250">
        <f t="shared" si="23"/>
        <v>-0.11483763602593319</v>
      </c>
      <c r="H250">
        <f t="shared" si="24"/>
        <v>-3.5286468417945684</v>
      </c>
      <c r="I250">
        <f t="shared" si="25"/>
        <v>34.255915043290045</v>
      </c>
      <c r="J250" t="b">
        <f t="shared" si="26"/>
        <v>0</v>
      </c>
      <c r="K250">
        <f t="shared" si="27"/>
        <v>10164</v>
      </c>
    </row>
    <row r="251" spans="1:11" x14ac:dyDescent="0.3">
      <c r="A251" s="1">
        <v>41768</v>
      </c>
      <c r="B251">
        <v>501279.00040000002</v>
      </c>
      <c r="C251">
        <v>558766.69030000002</v>
      </c>
      <c r="D251">
        <v>16310</v>
      </c>
      <c r="E251">
        <f t="shared" si="21"/>
        <v>30.734457412630288</v>
      </c>
      <c r="F251">
        <f t="shared" si="22"/>
        <v>-57487.689899999998</v>
      </c>
      <c r="G251">
        <f t="shared" si="23"/>
        <v>-0.11468202309318201</v>
      </c>
      <c r="H251">
        <f t="shared" si="24"/>
        <v>-3.5246897547516873</v>
      </c>
      <c r="I251">
        <f t="shared" si="25"/>
        <v>34.259147167381975</v>
      </c>
      <c r="J251" t="b">
        <f t="shared" si="26"/>
        <v>0</v>
      </c>
      <c r="K251">
        <f t="shared" si="27"/>
        <v>16310</v>
      </c>
    </row>
    <row r="252" spans="1:11" x14ac:dyDescent="0.3">
      <c r="A252" s="1">
        <v>41799</v>
      </c>
      <c r="B252">
        <v>552703.90379999997</v>
      </c>
      <c r="C252">
        <v>616169.85140000004</v>
      </c>
      <c r="D252">
        <v>17985</v>
      </c>
      <c r="E252">
        <f t="shared" si="21"/>
        <v>30.731381918265221</v>
      </c>
      <c r="F252">
        <f t="shared" si="22"/>
        <v>-63465.947600000072</v>
      </c>
      <c r="G252">
        <f t="shared" si="23"/>
        <v>-0.11482811531391987</v>
      </c>
      <c r="H252">
        <f t="shared" si="24"/>
        <v>-3.5288266666666672</v>
      </c>
      <c r="I252">
        <f t="shared" si="25"/>
        <v>34.260208584931888</v>
      </c>
      <c r="J252" t="b">
        <f t="shared" si="26"/>
        <v>0</v>
      </c>
      <c r="K252">
        <f t="shared" si="27"/>
        <v>17985</v>
      </c>
    </row>
    <row r="253" spans="1:11" x14ac:dyDescent="0.3">
      <c r="A253" s="1">
        <v>41829</v>
      </c>
      <c r="B253">
        <v>234153.7622</v>
      </c>
      <c r="C253">
        <v>261088.38639999999</v>
      </c>
      <c r="D253">
        <v>7620</v>
      </c>
      <c r="E253">
        <f t="shared" si="21"/>
        <v>30.728840183727034</v>
      </c>
      <c r="F253">
        <f t="shared" si="22"/>
        <v>-26934.624199999991</v>
      </c>
      <c r="G253">
        <f t="shared" si="23"/>
        <v>-0.11502964525077355</v>
      </c>
      <c r="H253">
        <f t="shared" si="24"/>
        <v>-3.5347275853018338</v>
      </c>
      <c r="I253">
        <f t="shared" si="25"/>
        <v>34.263567769028867</v>
      </c>
      <c r="J253" t="b">
        <f t="shared" si="26"/>
        <v>0</v>
      </c>
      <c r="K253">
        <f t="shared" si="27"/>
        <v>7620</v>
      </c>
    </row>
    <row r="254" spans="1:11" x14ac:dyDescent="0.3">
      <c r="A254" s="1">
        <v>41860</v>
      </c>
      <c r="B254">
        <v>244481.49770000001</v>
      </c>
      <c r="C254">
        <v>272633.39980000001</v>
      </c>
      <c r="D254">
        <v>7958</v>
      </c>
      <c r="E254">
        <f t="shared" si="21"/>
        <v>30.721474956019101</v>
      </c>
      <c r="F254">
        <f t="shared" si="22"/>
        <v>-28151.902100000007</v>
      </c>
      <c r="G254">
        <f t="shared" si="23"/>
        <v>-0.11514941770581277</v>
      </c>
      <c r="H254">
        <f t="shared" si="24"/>
        <v>-3.5375599522493104</v>
      </c>
      <c r="I254">
        <f t="shared" si="25"/>
        <v>34.259034908268411</v>
      </c>
      <c r="J254" t="b">
        <f t="shared" si="26"/>
        <v>0</v>
      </c>
      <c r="K254">
        <f t="shared" si="27"/>
        <v>7958</v>
      </c>
    </row>
    <row r="255" spans="1:11" x14ac:dyDescent="0.3">
      <c r="A255" s="1">
        <v>41891</v>
      </c>
      <c r="B255">
        <v>122749.63529999999</v>
      </c>
      <c r="C255">
        <v>120070.95020000001</v>
      </c>
      <c r="D255">
        <v>3503</v>
      </c>
      <c r="E255">
        <f t="shared" si="21"/>
        <v>35.041288980873539</v>
      </c>
      <c r="F255">
        <f t="shared" si="22"/>
        <v>2678.6850999999879</v>
      </c>
      <c r="G255">
        <f t="shared" si="23"/>
        <v>2.1822346709652406E-2</v>
      </c>
      <c r="H255">
        <f t="shared" si="24"/>
        <v>0.76468315729374581</v>
      </c>
      <c r="I255">
        <f t="shared" si="25"/>
        <v>34.276605823579793</v>
      </c>
      <c r="J255" t="b">
        <f t="shared" si="26"/>
        <v>1</v>
      </c>
      <c r="K255">
        <f t="shared" si="27"/>
        <v>3503</v>
      </c>
    </row>
    <row r="256" spans="1:11" x14ac:dyDescent="0.3">
      <c r="A256" s="1">
        <v>41921</v>
      </c>
      <c r="B256">
        <v>78736.402839999995</v>
      </c>
      <c r="C256">
        <v>77071.542709999994</v>
      </c>
      <c r="D256">
        <v>2247</v>
      </c>
      <c r="E256">
        <f t="shared" si="21"/>
        <v>35.040677721406318</v>
      </c>
      <c r="F256">
        <f t="shared" si="22"/>
        <v>1664.8601300000009</v>
      </c>
      <c r="G256">
        <f t="shared" si="23"/>
        <v>2.1144731914958803E-2</v>
      </c>
      <c r="H256">
        <f t="shared" si="24"/>
        <v>0.74092573653760496</v>
      </c>
      <c r="I256">
        <f t="shared" si="25"/>
        <v>34.299751984868713</v>
      </c>
      <c r="J256" t="b">
        <f t="shared" si="26"/>
        <v>1</v>
      </c>
      <c r="K256">
        <f t="shared" si="27"/>
        <v>2247</v>
      </c>
    </row>
    <row r="257" spans="1:11" x14ac:dyDescent="0.3">
      <c r="A257" s="1">
        <v>41952</v>
      </c>
      <c r="B257">
        <v>70875.110669999995</v>
      </c>
      <c r="C257">
        <v>69489.360849999997</v>
      </c>
      <c r="D257">
        <v>2023</v>
      </c>
      <c r="E257">
        <f t="shared" si="21"/>
        <v>35.03465678200692</v>
      </c>
      <c r="F257">
        <f t="shared" si="22"/>
        <v>1385.7498199999973</v>
      </c>
      <c r="G257">
        <f t="shared" si="23"/>
        <v>1.9551995148933958E-2</v>
      </c>
      <c r="H257">
        <f t="shared" si="24"/>
        <v>0.68499743944637004</v>
      </c>
      <c r="I257">
        <f t="shared" si="25"/>
        <v>34.34965934256055</v>
      </c>
      <c r="J257" t="b">
        <f t="shared" si="26"/>
        <v>1</v>
      </c>
      <c r="K257">
        <f t="shared" si="27"/>
        <v>2023</v>
      </c>
    </row>
    <row r="258" spans="1:11" x14ac:dyDescent="0.3">
      <c r="A258" s="1">
        <v>41982</v>
      </c>
      <c r="B258">
        <v>148634.39139999999</v>
      </c>
      <c r="C258">
        <v>145956.1397</v>
      </c>
      <c r="D258">
        <v>4242</v>
      </c>
      <c r="E258">
        <f t="shared" si="21"/>
        <v>35.038753276756246</v>
      </c>
      <c r="F258">
        <f t="shared" si="22"/>
        <v>2678.2516999999934</v>
      </c>
      <c r="G258">
        <f t="shared" si="23"/>
        <v>1.8019057869267757E-2</v>
      </c>
      <c r="H258">
        <f t="shared" si="24"/>
        <v>0.63136532296086756</v>
      </c>
      <c r="I258">
        <f t="shared" si="25"/>
        <v>34.407387953795379</v>
      </c>
      <c r="J258" t="b">
        <f t="shared" si="26"/>
        <v>1</v>
      </c>
      <c r="K258">
        <f t="shared" si="27"/>
        <v>4242</v>
      </c>
    </row>
    <row r="259" spans="1:11" x14ac:dyDescent="0.3">
      <c r="A259" t="s">
        <v>153</v>
      </c>
      <c r="B259">
        <v>171724.82879999999</v>
      </c>
      <c r="C259">
        <v>168652.20360000001</v>
      </c>
      <c r="D259">
        <v>4901</v>
      </c>
      <c r="E259">
        <f t="shared" ref="E259:E322" si="28">B259/D259</f>
        <v>35.038732666802694</v>
      </c>
      <c r="F259">
        <f t="shared" ref="F259:F322" si="29">B259-C259</f>
        <v>3072.6251999999804</v>
      </c>
      <c r="G259">
        <f t="shared" ref="G259:H322" si="30">F259/B259</f>
        <v>1.7892725364592011E-2</v>
      </c>
      <c r="H259">
        <f t="shared" ref="H259:H322" si="31">E259-I259</f>
        <v>0.62693842073046113</v>
      </c>
      <c r="I259">
        <f t="shared" ref="I259:I322" si="32">C259/D259</f>
        <v>34.411794246072233</v>
      </c>
      <c r="J259" t="b">
        <f t="shared" ref="J259:J322" si="33">H259&gt;0</f>
        <v>1</v>
      </c>
      <c r="K259">
        <f t="shared" ref="K259:K322" si="34">D259</f>
        <v>4901</v>
      </c>
    </row>
    <row r="260" spans="1:11" x14ac:dyDescent="0.3">
      <c r="A260" t="s">
        <v>154</v>
      </c>
      <c r="B260">
        <v>86435.698829999994</v>
      </c>
      <c r="C260">
        <v>84948.374580000003</v>
      </c>
      <c r="D260">
        <v>2467</v>
      </c>
      <c r="E260">
        <f t="shared" si="28"/>
        <v>35.036764827725982</v>
      </c>
      <c r="F260">
        <f t="shared" si="29"/>
        <v>1487.3242499999906</v>
      </c>
      <c r="G260">
        <f t="shared" si="30"/>
        <v>1.7207291317505632E-2</v>
      </c>
      <c r="H260">
        <f t="shared" si="31"/>
        <v>0.60288781921362045</v>
      </c>
      <c r="I260">
        <f t="shared" si="32"/>
        <v>34.433877008512361</v>
      </c>
      <c r="J260" t="b">
        <f t="shared" si="33"/>
        <v>1</v>
      </c>
      <c r="K260">
        <f t="shared" si="34"/>
        <v>2467</v>
      </c>
    </row>
    <row r="261" spans="1:11" x14ac:dyDescent="0.3">
      <c r="A261" t="s">
        <v>155</v>
      </c>
      <c r="B261">
        <v>120236.1827</v>
      </c>
      <c r="C261">
        <v>118094.0432</v>
      </c>
      <c r="D261">
        <v>3432</v>
      </c>
      <c r="E261">
        <f t="shared" si="28"/>
        <v>35.033852768065266</v>
      </c>
      <c r="F261">
        <f t="shared" si="29"/>
        <v>2142.1395000000048</v>
      </c>
      <c r="G261">
        <f t="shared" si="30"/>
        <v>1.7816097050792387E-2</v>
      </c>
      <c r="H261">
        <f t="shared" si="31"/>
        <v>0.62416652097901704</v>
      </c>
      <c r="I261">
        <f t="shared" si="32"/>
        <v>34.409686247086249</v>
      </c>
      <c r="J261" t="b">
        <f t="shared" si="33"/>
        <v>1</v>
      </c>
      <c r="K261">
        <f t="shared" si="34"/>
        <v>3432</v>
      </c>
    </row>
    <row r="262" spans="1:11" x14ac:dyDescent="0.3">
      <c r="A262" t="s">
        <v>156</v>
      </c>
      <c r="B262">
        <v>83204.196689999997</v>
      </c>
      <c r="C262">
        <v>81753.424589999995</v>
      </c>
      <c r="D262">
        <v>2375</v>
      </c>
      <c r="E262">
        <f t="shared" si="28"/>
        <v>35.033345974736839</v>
      </c>
      <c r="F262">
        <f t="shared" si="29"/>
        <v>1450.772100000002</v>
      </c>
      <c r="G262">
        <f t="shared" si="30"/>
        <v>1.7436285160053289E-2</v>
      </c>
      <c r="H262">
        <f t="shared" si="31"/>
        <v>0.61085141052631542</v>
      </c>
      <c r="I262">
        <f t="shared" si="32"/>
        <v>34.422494564210524</v>
      </c>
      <c r="J262" t="b">
        <f t="shared" si="33"/>
        <v>1</v>
      </c>
      <c r="K262">
        <f t="shared" si="34"/>
        <v>2375</v>
      </c>
    </row>
    <row r="263" spans="1:11" x14ac:dyDescent="0.3">
      <c r="A263" t="s">
        <v>157</v>
      </c>
      <c r="B263">
        <v>73768.034729999999</v>
      </c>
      <c r="C263">
        <v>72471.919320000001</v>
      </c>
      <c r="D263">
        <v>2105</v>
      </c>
      <c r="E263">
        <f t="shared" si="28"/>
        <v>35.04419702137767</v>
      </c>
      <c r="F263">
        <f t="shared" si="29"/>
        <v>1296.1154099999985</v>
      </c>
      <c r="G263">
        <f t="shared" si="30"/>
        <v>1.757014965552409E-2</v>
      </c>
      <c r="H263">
        <f t="shared" si="31"/>
        <v>0.61573178622327873</v>
      </c>
      <c r="I263">
        <f t="shared" si="32"/>
        <v>34.428465235154391</v>
      </c>
      <c r="J263" t="b">
        <f t="shared" si="33"/>
        <v>1</v>
      </c>
      <c r="K263">
        <f t="shared" si="34"/>
        <v>2105</v>
      </c>
    </row>
    <row r="264" spans="1:11" x14ac:dyDescent="0.3">
      <c r="A264" t="s">
        <v>158</v>
      </c>
      <c r="B264">
        <v>69425.445120000004</v>
      </c>
      <c r="C264">
        <v>68280.383279999995</v>
      </c>
      <c r="D264">
        <v>1982</v>
      </c>
      <c r="E264">
        <f t="shared" si="28"/>
        <v>35.027974328960646</v>
      </c>
      <c r="F264">
        <f t="shared" si="29"/>
        <v>1145.0618400000094</v>
      </c>
      <c r="G264">
        <f t="shared" si="30"/>
        <v>1.649340293059412E-2</v>
      </c>
      <c r="H264">
        <f t="shared" si="31"/>
        <v>0.57773049445005142</v>
      </c>
      <c r="I264">
        <f t="shared" si="32"/>
        <v>34.450243834510594</v>
      </c>
      <c r="J264" t="b">
        <f t="shared" si="33"/>
        <v>1</v>
      </c>
      <c r="K264">
        <f t="shared" si="34"/>
        <v>1982</v>
      </c>
    </row>
    <row r="265" spans="1:11" x14ac:dyDescent="0.3">
      <c r="A265" t="s">
        <v>159</v>
      </c>
      <c r="B265">
        <v>137154.9541</v>
      </c>
      <c r="C265">
        <v>135276.90960000001</v>
      </c>
      <c r="D265">
        <v>3915</v>
      </c>
      <c r="E265">
        <f t="shared" si="28"/>
        <v>35.033193895274586</v>
      </c>
      <c r="F265">
        <f t="shared" si="29"/>
        <v>1878.0444999999891</v>
      </c>
      <c r="G265">
        <f t="shared" si="30"/>
        <v>1.3692866672761251E-2</v>
      </c>
      <c r="H265">
        <f t="shared" si="31"/>
        <v>0.47970485312898603</v>
      </c>
      <c r="I265">
        <f t="shared" si="32"/>
        <v>34.5534890421456</v>
      </c>
      <c r="J265" t="b">
        <f t="shared" si="33"/>
        <v>1</v>
      </c>
      <c r="K265">
        <f t="shared" si="34"/>
        <v>3915</v>
      </c>
    </row>
    <row r="266" spans="1:11" x14ac:dyDescent="0.3">
      <c r="A266" t="s">
        <v>160</v>
      </c>
      <c r="B266">
        <v>153569.0619</v>
      </c>
      <c r="C266">
        <v>151376.13560000001</v>
      </c>
      <c r="D266">
        <v>4383</v>
      </c>
      <c r="E266">
        <f t="shared" si="28"/>
        <v>35.037431416837784</v>
      </c>
      <c r="F266">
        <f t="shared" si="29"/>
        <v>2192.9262999999919</v>
      </c>
      <c r="G266">
        <f t="shared" si="30"/>
        <v>1.427974015643832E-2</v>
      </c>
      <c r="H266">
        <f t="shared" si="31"/>
        <v>0.50032541638147165</v>
      </c>
      <c r="I266">
        <f t="shared" si="32"/>
        <v>34.537106000456312</v>
      </c>
      <c r="J266" t="b">
        <f t="shared" si="33"/>
        <v>1</v>
      </c>
      <c r="K266">
        <f t="shared" si="34"/>
        <v>4383</v>
      </c>
    </row>
    <row r="267" spans="1:11" x14ac:dyDescent="0.3">
      <c r="A267" t="s">
        <v>161</v>
      </c>
      <c r="B267">
        <v>75633.320590000003</v>
      </c>
      <c r="C267">
        <v>74546.668250000002</v>
      </c>
      <c r="D267">
        <v>2159</v>
      </c>
      <c r="E267">
        <f t="shared" si="28"/>
        <v>35.031644553033814</v>
      </c>
      <c r="F267">
        <f t="shared" si="29"/>
        <v>1086.6523400000005</v>
      </c>
      <c r="G267">
        <f t="shared" si="30"/>
        <v>1.4367375801078794E-2</v>
      </c>
      <c r="H267">
        <f t="shared" si="31"/>
        <v>0.50331280222325603</v>
      </c>
      <c r="I267">
        <f t="shared" si="32"/>
        <v>34.528331750810558</v>
      </c>
      <c r="J267" t="b">
        <f t="shared" si="33"/>
        <v>1</v>
      </c>
      <c r="K267">
        <f t="shared" si="34"/>
        <v>2159</v>
      </c>
    </row>
    <row r="268" spans="1:11" x14ac:dyDescent="0.3">
      <c r="A268" t="s">
        <v>162</v>
      </c>
      <c r="B268">
        <v>90815.929810000001</v>
      </c>
      <c r="C268">
        <v>89653.637589999998</v>
      </c>
      <c r="D268">
        <v>2592</v>
      </c>
      <c r="E268">
        <f t="shared" si="28"/>
        <v>35.037009957561729</v>
      </c>
      <c r="F268">
        <f t="shared" si="29"/>
        <v>1162.292220000003</v>
      </c>
      <c r="G268">
        <f t="shared" si="30"/>
        <v>1.2798329791168638E-2</v>
      </c>
      <c r="H268">
        <f t="shared" si="31"/>
        <v>0.44841520833333703</v>
      </c>
      <c r="I268">
        <f t="shared" si="32"/>
        <v>34.588594749228392</v>
      </c>
      <c r="J268" t="b">
        <f t="shared" si="33"/>
        <v>1</v>
      </c>
      <c r="K268">
        <f t="shared" si="34"/>
        <v>2592</v>
      </c>
    </row>
    <row r="269" spans="1:11" x14ac:dyDescent="0.3">
      <c r="A269" t="s">
        <v>163</v>
      </c>
      <c r="B269">
        <v>110118.15640000001</v>
      </c>
      <c r="C269">
        <v>108880.409</v>
      </c>
      <c r="D269">
        <v>3143</v>
      </c>
      <c r="E269">
        <f t="shared" si="28"/>
        <v>35.03600267260579</v>
      </c>
      <c r="F269">
        <f t="shared" si="29"/>
        <v>1237.7474000000075</v>
      </c>
      <c r="G269">
        <f t="shared" si="30"/>
        <v>1.1240175466649998E-2</v>
      </c>
      <c r="H269">
        <f t="shared" si="31"/>
        <v>0.39381081769010251</v>
      </c>
      <c r="I269">
        <f t="shared" si="32"/>
        <v>34.642191854915687</v>
      </c>
      <c r="J269" t="b">
        <f t="shared" si="33"/>
        <v>1</v>
      </c>
      <c r="K269">
        <f t="shared" si="34"/>
        <v>3143</v>
      </c>
    </row>
    <row r="270" spans="1:11" x14ac:dyDescent="0.3">
      <c r="A270" t="s">
        <v>164</v>
      </c>
      <c r="B270">
        <v>209908.38310000001</v>
      </c>
      <c r="C270">
        <v>223554.08660000001</v>
      </c>
      <c r="D270">
        <v>6457</v>
      </c>
      <c r="E270">
        <f t="shared" si="28"/>
        <v>32.508654653864028</v>
      </c>
      <c r="F270">
        <f t="shared" si="29"/>
        <v>-13645.703500000003</v>
      </c>
      <c r="G270">
        <f t="shared" si="30"/>
        <v>-6.5007901535305584E-2</v>
      </c>
      <c r="H270">
        <f t="shared" si="31"/>
        <v>-2.1133194207836397</v>
      </c>
      <c r="I270">
        <f t="shared" si="32"/>
        <v>34.621974074647667</v>
      </c>
      <c r="J270" t="b">
        <f t="shared" si="33"/>
        <v>0</v>
      </c>
      <c r="K270">
        <f t="shared" si="34"/>
        <v>6457</v>
      </c>
    </row>
    <row r="271" spans="1:11" x14ac:dyDescent="0.3">
      <c r="A271" t="s">
        <v>165</v>
      </c>
      <c r="B271">
        <v>358365.68300000002</v>
      </c>
      <c r="C271">
        <v>382967.98320000002</v>
      </c>
      <c r="D271">
        <v>11039</v>
      </c>
      <c r="E271">
        <f t="shared" si="28"/>
        <v>32.463600235528581</v>
      </c>
      <c r="F271">
        <f t="shared" si="29"/>
        <v>-24602.300199999998</v>
      </c>
      <c r="G271">
        <f t="shared" si="30"/>
        <v>-6.8651384234243204E-2</v>
      </c>
      <c r="H271">
        <f t="shared" si="31"/>
        <v>-2.2286710933961444</v>
      </c>
      <c r="I271">
        <f t="shared" si="32"/>
        <v>34.692271328924726</v>
      </c>
      <c r="J271" t="b">
        <f t="shared" si="33"/>
        <v>0</v>
      </c>
      <c r="K271">
        <f t="shared" si="34"/>
        <v>11039</v>
      </c>
    </row>
    <row r="272" spans="1:11" x14ac:dyDescent="0.3">
      <c r="A272" t="s">
        <v>166</v>
      </c>
      <c r="B272">
        <v>585463.99600000004</v>
      </c>
      <c r="C272">
        <v>625980.93019999994</v>
      </c>
      <c r="D272">
        <v>18036</v>
      </c>
      <c r="E272">
        <f t="shared" si="28"/>
        <v>32.460855843867819</v>
      </c>
      <c r="F272">
        <f t="shared" si="29"/>
        <v>-40516.934199999901</v>
      </c>
      <c r="G272">
        <f t="shared" si="30"/>
        <v>-6.9204826388674978E-2</v>
      </c>
      <c r="H272">
        <f t="shared" si="31"/>
        <v>-2.2464478931026832</v>
      </c>
      <c r="I272">
        <f t="shared" si="32"/>
        <v>34.707303736970502</v>
      </c>
      <c r="J272" t="b">
        <f t="shared" si="33"/>
        <v>0</v>
      </c>
      <c r="K272">
        <f t="shared" si="34"/>
        <v>18036</v>
      </c>
    </row>
    <row r="273" spans="1:11" x14ac:dyDescent="0.3">
      <c r="A273" t="s">
        <v>167</v>
      </c>
      <c r="B273">
        <v>617019.09149999998</v>
      </c>
      <c r="C273">
        <v>661010.59129999997</v>
      </c>
      <c r="D273">
        <v>19017</v>
      </c>
      <c r="E273">
        <f t="shared" si="28"/>
        <v>32.445658700110428</v>
      </c>
      <c r="F273">
        <f t="shared" si="29"/>
        <v>-43991.499799999991</v>
      </c>
      <c r="G273">
        <f t="shared" si="30"/>
        <v>-7.1296821129237284E-2</v>
      </c>
      <c r="H273">
        <f t="shared" si="31"/>
        <v>-2.3132723247620532</v>
      </c>
      <c r="I273">
        <f t="shared" si="32"/>
        <v>34.758931024872481</v>
      </c>
      <c r="J273" t="b">
        <f t="shared" si="33"/>
        <v>0</v>
      </c>
      <c r="K273">
        <f t="shared" si="34"/>
        <v>19017</v>
      </c>
    </row>
    <row r="274" spans="1:11" x14ac:dyDescent="0.3">
      <c r="A274" t="s">
        <v>168</v>
      </c>
      <c r="B274">
        <v>283850.59710000001</v>
      </c>
      <c r="C274">
        <v>304440.65149999998</v>
      </c>
      <c r="D274">
        <v>8747</v>
      </c>
      <c r="E274">
        <f t="shared" si="28"/>
        <v>32.451194363781873</v>
      </c>
      <c r="F274">
        <f t="shared" si="29"/>
        <v>-20590.054399999965</v>
      </c>
      <c r="G274">
        <f t="shared" si="30"/>
        <v>-7.2538351549586946E-2</v>
      </c>
      <c r="H274">
        <f t="shared" si="31"/>
        <v>-2.3539561449639805</v>
      </c>
      <c r="I274">
        <f t="shared" si="32"/>
        <v>34.805150508745854</v>
      </c>
      <c r="J274" t="b">
        <f t="shared" si="33"/>
        <v>0</v>
      </c>
      <c r="K274">
        <f t="shared" si="34"/>
        <v>8747</v>
      </c>
    </row>
    <row r="275" spans="1:11" x14ac:dyDescent="0.3">
      <c r="A275" t="s">
        <v>169</v>
      </c>
      <c r="B275">
        <v>264317.11040000001</v>
      </c>
      <c r="C275">
        <v>283912.96870000003</v>
      </c>
      <c r="D275">
        <v>8147</v>
      </c>
      <c r="E275">
        <f t="shared" si="28"/>
        <v>32.443489677181788</v>
      </c>
      <c r="F275">
        <f t="shared" si="29"/>
        <v>-19595.858300000022</v>
      </c>
      <c r="G275">
        <f t="shared" si="30"/>
        <v>-7.4137683596589524E-2</v>
      </c>
      <c r="H275">
        <f t="shared" si="31"/>
        <v>-2.4052851724561179</v>
      </c>
      <c r="I275">
        <f t="shared" si="32"/>
        <v>34.848774849637906</v>
      </c>
      <c r="J275" t="b">
        <f t="shared" si="33"/>
        <v>0</v>
      </c>
      <c r="K275">
        <f t="shared" si="34"/>
        <v>8147</v>
      </c>
    </row>
    <row r="276" spans="1:11" x14ac:dyDescent="0.3">
      <c r="A276" t="s">
        <v>170</v>
      </c>
      <c r="B276">
        <v>358024.98129999998</v>
      </c>
      <c r="C276">
        <v>384823.4399</v>
      </c>
      <c r="D276">
        <v>11036</v>
      </c>
      <c r="E276">
        <f t="shared" si="28"/>
        <v>32.441553216745199</v>
      </c>
      <c r="F276">
        <f t="shared" si="29"/>
        <v>-26798.458600000013</v>
      </c>
      <c r="G276">
        <f t="shared" si="30"/>
        <v>-7.4850806507115689E-2</v>
      </c>
      <c r="H276">
        <f t="shared" si="31"/>
        <v>-2.4282764226168894</v>
      </c>
      <c r="I276">
        <f t="shared" si="32"/>
        <v>34.869829639362088</v>
      </c>
      <c r="J276" t="b">
        <f t="shared" si="33"/>
        <v>0</v>
      </c>
      <c r="K276">
        <f t="shared" si="34"/>
        <v>11036</v>
      </c>
    </row>
    <row r="277" spans="1:11" x14ac:dyDescent="0.3">
      <c r="A277" s="1">
        <v>41649</v>
      </c>
      <c r="B277">
        <v>594438.28079999995</v>
      </c>
      <c r="C277">
        <v>639306.56880000001</v>
      </c>
      <c r="D277">
        <v>18330</v>
      </c>
      <c r="E277">
        <f t="shared" si="28"/>
        <v>32.429802553191486</v>
      </c>
      <c r="F277">
        <f t="shared" si="29"/>
        <v>-44868.288000000059</v>
      </c>
      <c r="G277">
        <f t="shared" si="30"/>
        <v>-7.5480145625237902E-2</v>
      </c>
      <c r="H277">
        <f t="shared" si="31"/>
        <v>-2.4478062193126036</v>
      </c>
      <c r="I277">
        <f t="shared" si="32"/>
        <v>34.87760877250409</v>
      </c>
      <c r="J277" t="b">
        <f t="shared" si="33"/>
        <v>0</v>
      </c>
      <c r="K277">
        <f t="shared" si="34"/>
        <v>18330</v>
      </c>
    </row>
    <row r="278" spans="1:11" x14ac:dyDescent="0.3">
      <c r="A278" s="1">
        <v>41680</v>
      </c>
      <c r="B278">
        <v>470507.663</v>
      </c>
      <c r="C278">
        <v>506072.03330000001</v>
      </c>
      <c r="D278">
        <v>14503</v>
      </c>
      <c r="E278">
        <f t="shared" si="28"/>
        <v>32.442092187823206</v>
      </c>
      <c r="F278">
        <f t="shared" si="29"/>
        <v>-35564.37030000001</v>
      </c>
      <c r="G278">
        <f t="shared" si="30"/>
        <v>-7.5587228639887233E-2</v>
      </c>
      <c r="H278">
        <f t="shared" si="31"/>
        <v>-2.4522078397572926</v>
      </c>
      <c r="I278">
        <f t="shared" si="32"/>
        <v>34.894300027580499</v>
      </c>
      <c r="J278" t="b">
        <f t="shared" si="33"/>
        <v>0</v>
      </c>
      <c r="K278">
        <f t="shared" si="34"/>
        <v>14503</v>
      </c>
    </row>
    <row r="279" spans="1:11" x14ac:dyDescent="0.3">
      <c r="A279" s="1">
        <v>41708</v>
      </c>
      <c r="B279">
        <v>518693.52870000002</v>
      </c>
      <c r="C279">
        <v>557939.36930000002</v>
      </c>
      <c r="D279">
        <v>15986</v>
      </c>
      <c r="E279">
        <f t="shared" si="28"/>
        <v>32.446736438133371</v>
      </c>
      <c r="F279">
        <f t="shared" si="29"/>
        <v>-39245.840599999996</v>
      </c>
      <c r="G279">
        <f t="shared" si="30"/>
        <v>-7.5662869167390082E-2</v>
      </c>
      <c r="H279">
        <f t="shared" si="31"/>
        <v>-2.4550131740272718</v>
      </c>
      <c r="I279">
        <f t="shared" si="32"/>
        <v>34.901749612160643</v>
      </c>
      <c r="J279" t="b">
        <f t="shared" si="33"/>
        <v>0</v>
      </c>
      <c r="K279">
        <f t="shared" si="34"/>
        <v>15986</v>
      </c>
    </row>
    <row r="280" spans="1:11" x14ac:dyDescent="0.3">
      <c r="A280" s="1">
        <v>41739</v>
      </c>
      <c r="B280">
        <v>656245.8284</v>
      </c>
      <c r="C280">
        <v>705891.3003</v>
      </c>
      <c r="D280">
        <v>20223</v>
      </c>
      <c r="E280">
        <f t="shared" si="28"/>
        <v>32.450468694061215</v>
      </c>
      <c r="F280">
        <f t="shared" si="29"/>
        <v>-49645.471900000004</v>
      </c>
      <c r="G280">
        <f t="shared" si="30"/>
        <v>-7.5650723785995203E-2</v>
      </c>
      <c r="H280">
        <f t="shared" si="31"/>
        <v>-2.4549014439005106</v>
      </c>
      <c r="I280">
        <f t="shared" si="32"/>
        <v>34.905370137961725</v>
      </c>
      <c r="J280" t="b">
        <f t="shared" si="33"/>
        <v>0</v>
      </c>
      <c r="K280">
        <f t="shared" si="34"/>
        <v>20223</v>
      </c>
    </row>
    <row r="281" spans="1:11" x14ac:dyDescent="0.3">
      <c r="A281" s="1">
        <v>41769</v>
      </c>
      <c r="B281">
        <v>280055.1177</v>
      </c>
      <c r="C281">
        <v>301279.65500000003</v>
      </c>
      <c r="D281">
        <v>8631</v>
      </c>
      <c r="E281">
        <f t="shared" si="28"/>
        <v>32.447586339937438</v>
      </c>
      <c r="F281">
        <f t="shared" si="29"/>
        <v>-21224.537300000025</v>
      </c>
      <c r="G281">
        <f t="shared" si="30"/>
        <v>-7.5787000338755198E-2</v>
      </c>
      <c r="H281">
        <f t="shared" si="31"/>
        <v>-2.4591052369366224</v>
      </c>
      <c r="I281">
        <f t="shared" si="32"/>
        <v>34.90669157687406</v>
      </c>
      <c r="J281" t="b">
        <f t="shared" si="33"/>
        <v>0</v>
      </c>
      <c r="K281">
        <f t="shared" si="34"/>
        <v>8631</v>
      </c>
    </row>
    <row r="282" spans="1:11" x14ac:dyDescent="0.3">
      <c r="A282" s="1">
        <v>41800</v>
      </c>
      <c r="B282">
        <v>375648.01750000002</v>
      </c>
      <c r="C282">
        <v>404178.92109999998</v>
      </c>
      <c r="D282">
        <v>11579</v>
      </c>
      <c r="E282">
        <f t="shared" si="28"/>
        <v>32.442181319630365</v>
      </c>
      <c r="F282">
        <f t="shared" si="29"/>
        <v>-28530.903599999961</v>
      </c>
      <c r="G282">
        <f t="shared" si="30"/>
        <v>-7.5951162446904058E-2</v>
      </c>
      <c r="H282">
        <f t="shared" si="31"/>
        <v>-2.464021383539162</v>
      </c>
      <c r="I282">
        <f t="shared" si="32"/>
        <v>34.906202703169527</v>
      </c>
      <c r="J282" t="b">
        <f t="shared" si="33"/>
        <v>0</v>
      </c>
      <c r="K282">
        <f t="shared" si="34"/>
        <v>11579</v>
      </c>
    </row>
    <row r="283" spans="1:11" x14ac:dyDescent="0.3">
      <c r="A283" s="1">
        <v>41830</v>
      </c>
      <c r="B283">
        <v>78111.716459999996</v>
      </c>
      <c r="C283">
        <v>74251.874729999996</v>
      </c>
      <c r="D283">
        <v>2127</v>
      </c>
      <c r="E283">
        <f t="shared" si="28"/>
        <v>36.723891142454157</v>
      </c>
      <c r="F283">
        <f t="shared" si="29"/>
        <v>3859.8417300000001</v>
      </c>
      <c r="G283">
        <f t="shared" si="30"/>
        <v>4.9414376036360376E-2</v>
      </c>
      <c r="H283">
        <f t="shared" si="31"/>
        <v>1.8146881664315941</v>
      </c>
      <c r="I283">
        <f t="shared" si="32"/>
        <v>34.909202976022563</v>
      </c>
      <c r="J283" t="b">
        <f t="shared" si="33"/>
        <v>1</v>
      </c>
      <c r="K283">
        <f t="shared" si="34"/>
        <v>2127</v>
      </c>
    </row>
    <row r="284" spans="1:11" x14ac:dyDescent="0.3">
      <c r="A284" s="1">
        <v>41861</v>
      </c>
      <c r="B284">
        <v>70509.132790000003</v>
      </c>
      <c r="C284">
        <v>67141.979630000002</v>
      </c>
      <c r="D284">
        <v>1923</v>
      </c>
      <c r="E284">
        <f t="shared" si="28"/>
        <v>36.66621569942798</v>
      </c>
      <c r="F284">
        <f t="shared" si="29"/>
        <v>3367.1531600000017</v>
      </c>
      <c r="G284">
        <f t="shared" si="30"/>
        <v>4.7754851418021556E-2</v>
      </c>
      <c r="H284">
        <f t="shared" si="31"/>
        <v>1.7509896827873135</v>
      </c>
      <c r="I284">
        <f t="shared" si="32"/>
        <v>34.915226016640666</v>
      </c>
      <c r="J284" t="b">
        <f t="shared" si="33"/>
        <v>1</v>
      </c>
      <c r="K284">
        <f t="shared" si="34"/>
        <v>1923</v>
      </c>
    </row>
    <row r="285" spans="1:11" x14ac:dyDescent="0.3">
      <c r="A285" s="1">
        <v>41892</v>
      </c>
      <c r="B285">
        <v>103281.311</v>
      </c>
      <c r="C285">
        <v>98065.939079999996</v>
      </c>
      <c r="D285">
        <v>2809</v>
      </c>
      <c r="E285">
        <f t="shared" si="28"/>
        <v>36.767999644001428</v>
      </c>
      <c r="F285">
        <f t="shared" si="29"/>
        <v>5215.371920000005</v>
      </c>
      <c r="G285">
        <f t="shared" si="30"/>
        <v>5.0496763349566751E-2</v>
      </c>
      <c r="H285">
        <f t="shared" si="31"/>
        <v>1.8566649768600954</v>
      </c>
      <c r="I285">
        <f t="shared" si="32"/>
        <v>34.911334667141332</v>
      </c>
      <c r="J285" t="b">
        <f t="shared" si="33"/>
        <v>1</v>
      </c>
      <c r="K285">
        <f t="shared" si="34"/>
        <v>2809</v>
      </c>
    </row>
    <row r="286" spans="1:11" x14ac:dyDescent="0.3">
      <c r="A286" s="1">
        <v>41922</v>
      </c>
      <c r="B286">
        <v>179841.43179999999</v>
      </c>
      <c r="C286">
        <v>170757.58119999999</v>
      </c>
      <c r="D286">
        <v>4891</v>
      </c>
      <c r="E286">
        <f t="shared" si="28"/>
        <v>36.769869515436511</v>
      </c>
      <c r="F286">
        <f t="shared" si="29"/>
        <v>9083.8506000000052</v>
      </c>
      <c r="G286">
        <f t="shared" si="30"/>
        <v>5.0510332958770436E-2</v>
      </c>
      <c r="H286">
        <f t="shared" si="31"/>
        <v>1.8572583520752417</v>
      </c>
      <c r="I286">
        <f t="shared" si="32"/>
        <v>34.912611163361269</v>
      </c>
      <c r="J286" t="b">
        <f t="shared" si="33"/>
        <v>1</v>
      </c>
      <c r="K286">
        <f t="shared" si="34"/>
        <v>4891</v>
      </c>
    </row>
    <row r="287" spans="1:11" x14ac:dyDescent="0.3">
      <c r="A287" s="1">
        <v>41953</v>
      </c>
      <c r="B287">
        <v>138038.23980000001</v>
      </c>
      <c r="C287">
        <v>131192.3168</v>
      </c>
      <c r="D287">
        <v>3758</v>
      </c>
      <c r="E287">
        <f t="shared" si="28"/>
        <v>36.731836029803091</v>
      </c>
      <c r="F287">
        <f t="shared" si="29"/>
        <v>6845.9230000000098</v>
      </c>
      <c r="G287">
        <f t="shared" si="30"/>
        <v>4.9594395074284404E-2</v>
      </c>
      <c r="H287">
        <f t="shared" si="31"/>
        <v>1.8216931878658897</v>
      </c>
      <c r="I287">
        <f t="shared" si="32"/>
        <v>34.910142841937201</v>
      </c>
      <c r="J287" t="b">
        <f t="shared" si="33"/>
        <v>1</v>
      </c>
      <c r="K287">
        <f t="shared" si="34"/>
        <v>3758</v>
      </c>
    </row>
    <row r="288" spans="1:11" x14ac:dyDescent="0.3">
      <c r="A288" s="1">
        <v>41983</v>
      </c>
      <c r="B288">
        <v>61037.562230000003</v>
      </c>
      <c r="C288">
        <v>57992.341509999998</v>
      </c>
      <c r="D288">
        <v>1661</v>
      </c>
      <c r="E288">
        <f t="shared" si="28"/>
        <v>36.747478765803734</v>
      </c>
      <c r="F288">
        <f t="shared" si="29"/>
        <v>3045.2207200000048</v>
      </c>
      <c r="G288">
        <f t="shared" si="30"/>
        <v>4.9890929597173145E-2</v>
      </c>
      <c r="H288">
        <f t="shared" si="31"/>
        <v>1.8333658759783305</v>
      </c>
      <c r="I288">
        <f t="shared" si="32"/>
        <v>34.914112889825404</v>
      </c>
      <c r="J288" t="b">
        <f t="shared" si="33"/>
        <v>1</v>
      </c>
      <c r="K288">
        <f t="shared" si="34"/>
        <v>1661</v>
      </c>
    </row>
    <row r="289" spans="1:11" x14ac:dyDescent="0.3">
      <c r="A289" t="s">
        <v>171</v>
      </c>
      <c r="B289">
        <v>86799.759449999998</v>
      </c>
      <c r="C289">
        <v>82392.333259999999</v>
      </c>
      <c r="D289">
        <v>2360</v>
      </c>
      <c r="E289">
        <f t="shared" si="28"/>
        <v>36.779559088983049</v>
      </c>
      <c r="F289">
        <f t="shared" si="29"/>
        <v>4407.4261899999983</v>
      </c>
      <c r="G289">
        <f t="shared" si="30"/>
        <v>5.0776940142775916E-2</v>
      </c>
      <c r="H289">
        <f t="shared" si="31"/>
        <v>1.8675534703389829</v>
      </c>
      <c r="I289">
        <f t="shared" si="32"/>
        <v>34.912005618644066</v>
      </c>
      <c r="J289" t="b">
        <f t="shared" si="33"/>
        <v>1</v>
      </c>
      <c r="K289">
        <f t="shared" si="34"/>
        <v>2360</v>
      </c>
    </row>
    <row r="290" spans="1:11" x14ac:dyDescent="0.3">
      <c r="A290" t="s">
        <v>172</v>
      </c>
      <c r="B290">
        <v>69570.501470000003</v>
      </c>
      <c r="C290">
        <v>66313.940979999999</v>
      </c>
      <c r="D290">
        <v>1894</v>
      </c>
      <c r="E290">
        <f t="shared" si="28"/>
        <v>36.73204935058078</v>
      </c>
      <c r="F290">
        <f t="shared" si="29"/>
        <v>3256.5604900000035</v>
      </c>
      <c r="G290">
        <f t="shared" si="30"/>
        <v>4.6809501458089799E-2</v>
      </c>
      <c r="H290">
        <f t="shared" si="31"/>
        <v>1.7194089176346381</v>
      </c>
      <c r="I290">
        <f t="shared" si="32"/>
        <v>35.012640432946142</v>
      </c>
      <c r="J290" t="b">
        <f t="shared" si="33"/>
        <v>1</v>
      </c>
      <c r="K290">
        <f t="shared" si="34"/>
        <v>1894</v>
      </c>
    </row>
    <row r="291" spans="1:11" x14ac:dyDescent="0.3">
      <c r="A291" t="s">
        <v>173</v>
      </c>
      <c r="B291">
        <v>130476.3553</v>
      </c>
      <c r="C291">
        <v>124398.4316</v>
      </c>
      <c r="D291">
        <v>3548</v>
      </c>
      <c r="E291">
        <f t="shared" si="28"/>
        <v>36.77462099774521</v>
      </c>
      <c r="F291">
        <f t="shared" si="29"/>
        <v>6077.9236999999994</v>
      </c>
      <c r="G291">
        <f t="shared" si="30"/>
        <v>4.6582568052466126E-2</v>
      </c>
      <c r="H291">
        <f t="shared" si="31"/>
        <v>1.7130562852311186</v>
      </c>
      <c r="I291">
        <f t="shared" si="32"/>
        <v>35.061564712514091</v>
      </c>
      <c r="J291" t="b">
        <f t="shared" si="33"/>
        <v>1</v>
      </c>
      <c r="K291">
        <f t="shared" si="34"/>
        <v>3548</v>
      </c>
    </row>
    <row r="292" spans="1:11" x14ac:dyDescent="0.3">
      <c r="A292" t="s">
        <v>174</v>
      </c>
      <c r="B292">
        <v>95229.773480000003</v>
      </c>
      <c r="C292">
        <v>91087.851339999994</v>
      </c>
      <c r="D292">
        <v>2591</v>
      </c>
      <c r="E292">
        <f t="shared" si="28"/>
        <v>36.754061551524508</v>
      </c>
      <c r="F292">
        <f t="shared" si="29"/>
        <v>4141.9221400000097</v>
      </c>
      <c r="G292">
        <f t="shared" si="30"/>
        <v>4.34939829072458E-2</v>
      </c>
      <c r="H292">
        <f t="shared" si="31"/>
        <v>1.5985805248938689</v>
      </c>
      <c r="I292">
        <f t="shared" si="32"/>
        <v>35.155481026630639</v>
      </c>
      <c r="J292" t="b">
        <f t="shared" si="33"/>
        <v>1</v>
      </c>
      <c r="K292">
        <f t="shared" si="34"/>
        <v>2591</v>
      </c>
    </row>
    <row r="293" spans="1:11" x14ac:dyDescent="0.3">
      <c r="A293" t="s">
        <v>175</v>
      </c>
      <c r="B293">
        <v>121057.8613</v>
      </c>
      <c r="C293">
        <v>116949.7913</v>
      </c>
      <c r="D293">
        <v>3293</v>
      </c>
      <c r="E293">
        <f t="shared" si="28"/>
        <v>36.76218077740662</v>
      </c>
      <c r="F293">
        <f t="shared" si="29"/>
        <v>4108.070000000007</v>
      </c>
      <c r="G293">
        <f t="shared" si="30"/>
        <v>3.3934764383616339E-2</v>
      </c>
      <c r="H293">
        <f t="shared" si="31"/>
        <v>1.2475159429092031</v>
      </c>
      <c r="I293">
        <f t="shared" si="32"/>
        <v>35.514664834497417</v>
      </c>
      <c r="J293" t="b">
        <f t="shared" si="33"/>
        <v>1</v>
      </c>
      <c r="K293">
        <f t="shared" si="34"/>
        <v>3293</v>
      </c>
    </row>
    <row r="294" spans="1:11" x14ac:dyDescent="0.3">
      <c r="A294" t="s">
        <v>176</v>
      </c>
      <c r="B294">
        <v>169498.91639999999</v>
      </c>
      <c r="C294">
        <v>164492.9466</v>
      </c>
      <c r="D294">
        <v>4611</v>
      </c>
      <c r="E294">
        <f t="shared" si="28"/>
        <v>36.759686922576442</v>
      </c>
      <c r="F294">
        <f t="shared" si="29"/>
        <v>5005.9697999999917</v>
      </c>
      <c r="G294">
        <f t="shared" si="30"/>
        <v>2.9533933940830738E-2</v>
      </c>
      <c r="H294">
        <f t="shared" si="31"/>
        <v>1.0856581652569872</v>
      </c>
      <c r="I294">
        <f t="shared" si="32"/>
        <v>35.674028757319455</v>
      </c>
      <c r="J294" t="b">
        <f t="shared" si="33"/>
        <v>1</v>
      </c>
      <c r="K294">
        <f t="shared" si="34"/>
        <v>4611</v>
      </c>
    </row>
    <row r="295" spans="1:11" x14ac:dyDescent="0.3">
      <c r="A295" t="s">
        <v>177</v>
      </c>
      <c r="B295">
        <v>90692.375880000007</v>
      </c>
      <c r="C295">
        <v>87911.211580000003</v>
      </c>
      <c r="D295">
        <v>2468</v>
      </c>
      <c r="E295">
        <f t="shared" si="28"/>
        <v>36.747315996758509</v>
      </c>
      <c r="F295">
        <f t="shared" si="29"/>
        <v>2781.164300000004</v>
      </c>
      <c r="G295">
        <f t="shared" si="30"/>
        <v>3.0665910701026436E-2</v>
      </c>
      <c r="H295">
        <f t="shared" si="31"/>
        <v>1.126889910858992</v>
      </c>
      <c r="I295">
        <f t="shared" si="32"/>
        <v>35.620426085899517</v>
      </c>
      <c r="J295" t="b">
        <f t="shared" si="33"/>
        <v>1</v>
      </c>
      <c r="K295">
        <f t="shared" si="34"/>
        <v>2468</v>
      </c>
    </row>
    <row r="296" spans="1:11" x14ac:dyDescent="0.3">
      <c r="A296" t="s">
        <v>178</v>
      </c>
      <c r="B296">
        <v>101723.91499999999</v>
      </c>
      <c r="C296">
        <v>98870.811879999994</v>
      </c>
      <c r="D296">
        <v>2773</v>
      </c>
      <c r="E296">
        <f t="shared" si="28"/>
        <v>36.68370537324197</v>
      </c>
      <c r="F296">
        <f t="shared" si="29"/>
        <v>2853.1031199999998</v>
      </c>
      <c r="G296">
        <f t="shared" si="30"/>
        <v>2.8047515866844095E-2</v>
      </c>
      <c r="H296">
        <f t="shared" si="31"/>
        <v>1.0288868085106344</v>
      </c>
      <c r="I296">
        <f t="shared" si="32"/>
        <v>35.654818564731336</v>
      </c>
      <c r="J296" t="b">
        <f t="shared" si="33"/>
        <v>1</v>
      </c>
      <c r="K296">
        <f t="shared" si="34"/>
        <v>2773</v>
      </c>
    </row>
    <row r="297" spans="1:11" x14ac:dyDescent="0.3">
      <c r="A297" t="s">
        <v>179</v>
      </c>
      <c r="B297">
        <v>103395.69130000001</v>
      </c>
      <c r="C297">
        <v>100424.1557</v>
      </c>
      <c r="D297">
        <v>2815</v>
      </c>
      <c r="E297">
        <f t="shared" si="28"/>
        <v>36.730263339254002</v>
      </c>
      <c r="F297">
        <f t="shared" si="29"/>
        <v>2971.5356000000029</v>
      </c>
      <c r="G297">
        <f t="shared" si="30"/>
        <v>2.8739452898266009E-2</v>
      </c>
      <c r="H297">
        <f t="shared" si="31"/>
        <v>1.0556076731794022</v>
      </c>
      <c r="I297">
        <f t="shared" si="32"/>
        <v>35.674655666074599</v>
      </c>
      <c r="J297" t="b">
        <f t="shared" si="33"/>
        <v>1</v>
      </c>
      <c r="K297">
        <f t="shared" si="34"/>
        <v>2815</v>
      </c>
    </row>
    <row r="298" spans="1:11" x14ac:dyDescent="0.3">
      <c r="A298" t="s">
        <v>180</v>
      </c>
      <c r="B298">
        <v>99075.599100000007</v>
      </c>
      <c r="C298">
        <v>96511.722160000005</v>
      </c>
      <c r="D298">
        <v>2701</v>
      </c>
      <c r="E298">
        <f t="shared" si="28"/>
        <v>36.681080747871164</v>
      </c>
      <c r="F298">
        <f t="shared" si="29"/>
        <v>2563.8769400000019</v>
      </c>
      <c r="G298">
        <f t="shared" si="30"/>
        <v>2.5877985733017906E-2</v>
      </c>
      <c r="H298">
        <f t="shared" si="31"/>
        <v>0.94923248426508877</v>
      </c>
      <c r="I298">
        <f t="shared" si="32"/>
        <v>35.731848263606075</v>
      </c>
      <c r="J298" t="b">
        <f t="shared" si="33"/>
        <v>1</v>
      </c>
      <c r="K298">
        <f t="shared" si="34"/>
        <v>2701</v>
      </c>
    </row>
    <row r="299" spans="1:11" x14ac:dyDescent="0.3">
      <c r="A299" t="s">
        <v>181</v>
      </c>
      <c r="B299">
        <v>97476.144719999997</v>
      </c>
      <c r="C299">
        <v>94763.842550000001</v>
      </c>
      <c r="D299">
        <v>2651</v>
      </c>
      <c r="E299">
        <f t="shared" si="28"/>
        <v>36.769575526216521</v>
      </c>
      <c r="F299">
        <f t="shared" si="29"/>
        <v>2712.3021699999954</v>
      </c>
      <c r="G299">
        <f t="shared" si="30"/>
        <v>2.7825291796173077E-2</v>
      </c>
      <c r="H299">
        <f t="shared" si="31"/>
        <v>1.0231241682383967</v>
      </c>
      <c r="I299">
        <f t="shared" si="32"/>
        <v>35.746451357978124</v>
      </c>
      <c r="J299" t="b">
        <f t="shared" si="33"/>
        <v>1</v>
      </c>
      <c r="K299">
        <f t="shared" si="34"/>
        <v>2651</v>
      </c>
    </row>
    <row r="300" spans="1:11" x14ac:dyDescent="0.3">
      <c r="A300" t="s">
        <v>182</v>
      </c>
      <c r="B300">
        <v>248974.65280000001</v>
      </c>
      <c r="C300">
        <v>241961.14319999999</v>
      </c>
      <c r="D300">
        <v>6781</v>
      </c>
      <c r="E300">
        <f t="shared" si="28"/>
        <v>36.716509777318983</v>
      </c>
      <c r="F300">
        <f t="shared" si="29"/>
        <v>7013.5096000000194</v>
      </c>
      <c r="G300">
        <f t="shared" si="30"/>
        <v>2.816957277026081E-2</v>
      </c>
      <c r="H300">
        <f t="shared" si="31"/>
        <v>1.0342883940421785</v>
      </c>
      <c r="I300">
        <f t="shared" si="32"/>
        <v>35.682221383276804</v>
      </c>
      <c r="J300" t="b">
        <f t="shared" si="33"/>
        <v>1</v>
      </c>
      <c r="K300">
        <f t="shared" si="34"/>
        <v>6781</v>
      </c>
    </row>
    <row r="301" spans="1:11" x14ac:dyDescent="0.3">
      <c r="A301" t="s">
        <v>183</v>
      </c>
      <c r="B301">
        <v>302721.68329999998</v>
      </c>
      <c r="C301">
        <v>294129.67109999998</v>
      </c>
      <c r="D301">
        <v>8249</v>
      </c>
      <c r="E301">
        <f t="shared" si="28"/>
        <v>36.69798561037701</v>
      </c>
      <c r="F301">
        <f t="shared" si="29"/>
        <v>8592.0121999999974</v>
      </c>
      <c r="G301">
        <f t="shared" si="30"/>
        <v>2.8382546325514561E-2</v>
      </c>
      <c r="H301">
        <f t="shared" si="31"/>
        <v>1.0415822766395877</v>
      </c>
      <c r="I301">
        <f t="shared" si="32"/>
        <v>35.656403333737423</v>
      </c>
      <c r="J301" t="b">
        <f t="shared" si="33"/>
        <v>1</v>
      </c>
      <c r="K301">
        <f t="shared" si="34"/>
        <v>8249</v>
      </c>
    </row>
    <row r="302" spans="1:11" x14ac:dyDescent="0.3">
      <c r="A302" t="s">
        <v>184</v>
      </c>
      <c r="B302">
        <v>128520.72779999999</v>
      </c>
      <c r="C302">
        <v>124739.23390000001</v>
      </c>
      <c r="D302">
        <v>3502</v>
      </c>
      <c r="E302">
        <f t="shared" si="28"/>
        <v>36.699236950314102</v>
      </c>
      <c r="F302">
        <f t="shared" si="29"/>
        <v>3781.4938999999868</v>
      </c>
      <c r="G302">
        <f t="shared" si="30"/>
        <v>2.942322195595275E-2</v>
      </c>
      <c r="H302">
        <f t="shared" si="31"/>
        <v>1.0798097944031895</v>
      </c>
      <c r="I302">
        <f t="shared" si="32"/>
        <v>35.619427155910913</v>
      </c>
      <c r="J302" t="b">
        <f t="shared" si="33"/>
        <v>1</v>
      </c>
      <c r="K302">
        <f t="shared" si="34"/>
        <v>3502</v>
      </c>
    </row>
    <row r="303" spans="1:11" x14ac:dyDescent="0.3">
      <c r="A303" t="s">
        <v>185</v>
      </c>
      <c r="B303">
        <v>145185.2683</v>
      </c>
      <c r="C303">
        <v>140651.93719999999</v>
      </c>
      <c r="D303">
        <v>3949</v>
      </c>
      <c r="E303">
        <f t="shared" si="28"/>
        <v>36.765071739680934</v>
      </c>
      <c r="F303">
        <f t="shared" si="29"/>
        <v>4533.3311000000103</v>
      </c>
      <c r="G303">
        <f t="shared" si="30"/>
        <v>3.1224456538060552E-2</v>
      </c>
      <c r="H303">
        <f t="shared" si="31"/>
        <v>1.1479693846543455</v>
      </c>
      <c r="I303">
        <f t="shared" si="32"/>
        <v>35.617102355026589</v>
      </c>
      <c r="J303" t="b">
        <f t="shared" si="33"/>
        <v>1</v>
      </c>
      <c r="K303">
        <f t="shared" si="34"/>
        <v>3949</v>
      </c>
    </row>
    <row r="304" spans="1:11" x14ac:dyDescent="0.3">
      <c r="A304" t="s">
        <v>186</v>
      </c>
      <c r="B304">
        <v>89527.556630000006</v>
      </c>
      <c r="C304">
        <v>87067.051319999999</v>
      </c>
      <c r="D304">
        <v>2435</v>
      </c>
      <c r="E304">
        <f t="shared" si="28"/>
        <v>36.766963708418892</v>
      </c>
      <c r="F304">
        <f t="shared" si="29"/>
        <v>2460.5053100000077</v>
      </c>
      <c r="G304">
        <f t="shared" si="30"/>
        <v>2.7483217487647944E-2</v>
      </c>
      <c r="H304">
        <f t="shared" si="31"/>
        <v>1.0104744599589353</v>
      </c>
      <c r="I304">
        <f t="shared" si="32"/>
        <v>35.756489248459957</v>
      </c>
      <c r="J304" t="b">
        <f t="shared" si="33"/>
        <v>1</v>
      </c>
      <c r="K304">
        <f t="shared" si="34"/>
        <v>2435</v>
      </c>
    </row>
    <row r="305" spans="1:11" x14ac:dyDescent="0.3">
      <c r="A305" t="s">
        <v>187</v>
      </c>
      <c r="B305">
        <v>81991.882840000006</v>
      </c>
      <c r="C305">
        <v>80112.548009999999</v>
      </c>
      <c r="D305">
        <v>2232</v>
      </c>
      <c r="E305">
        <f t="shared" si="28"/>
        <v>36.734714534050184</v>
      </c>
      <c r="F305">
        <f t="shared" si="29"/>
        <v>1879.3348300000071</v>
      </c>
      <c r="G305">
        <f t="shared" si="30"/>
        <v>2.2920986381875931E-2</v>
      </c>
      <c r="H305">
        <f t="shared" si="31"/>
        <v>0.84199589157706356</v>
      </c>
      <c r="I305">
        <f t="shared" si="32"/>
        <v>35.89271864247312</v>
      </c>
      <c r="J305" t="b">
        <f t="shared" si="33"/>
        <v>1</v>
      </c>
      <c r="K305">
        <f t="shared" si="34"/>
        <v>2232</v>
      </c>
    </row>
    <row r="306" spans="1:11" x14ac:dyDescent="0.3">
      <c r="A306" t="s">
        <v>188</v>
      </c>
      <c r="B306">
        <v>69704.491110000003</v>
      </c>
      <c r="C306">
        <v>68293.096390000006</v>
      </c>
      <c r="D306">
        <v>1898</v>
      </c>
      <c r="E306">
        <f t="shared" si="28"/>
        <v>36.725232407797684</v>
      </c>
      <c r="F306">
        <f t="shared" si="29"/>
        <v>1411.3947199999966</v>
      </c>
      <c r="G306">
        <f t="shared" si="30"/>
        <v>2.0248260872784911E-2</v>
      </c>
      <c r="H306">
        <f t="shared" si="31"/>
        <v>0.7436220864067451</v>
      </c>
      <c r="I306">
        <f t="shared" si="32"/>
        <v>35.981610321390939</v>
      </c>
      <c r="J306" t="b">
        <f t="shared" si="33"/>
        <v>1</v>
      </c>
      <c r="K306">
        <f t="shared" si="34"/>
        <v>1898</v>
      </c>
    </row>
    <row r="307" spans="1:11" x14ac:dyDescent="0.3">
      <c r="A307" t="s">
        <v>189</v>
      </c>
      <c r="B307">
        <v>166652.39480000001</v>
      </c>
      <c r="C307">
        <v>163319.71650000001</v>
      </c>
      <c r="D307">
        <v>4537</v>
      </c>
      <c r="E307">
        <f t="shared" si="28"/>
        <v>36.731848093453827</v>
      </c>
      <c r="F307">
        <f t="shared" si="29"/>
        <v>3332.6782999999996</v>
      </c>
      <c r="G307">
        <f t="shared" si="30"/>
        <v>1.9997782234090041E-2</v>
      </c>
      <c r="H307">
        <f t="shared" si="31"/>
        <v>0.73455549922856278</v>
      </c>
      <c r="I307">
        <f t="shared" si="32"/>
        <v>35.997292594225264</v>
      </c>
      <c r="J307" t="b">
        <f t="shared" si="33"/>
        <v>1</v>
      </c>
      <c r="K307">
        <f t="shared" si="34"/>
        <v>4537</v>
      </c>
    </row>
    <row r="308" spans="1:11" x14ac:dyDescent="0.3">
      <c r="A308" s="1">
        <v>41650</v>
      </c>
      <c r="B308">
        <v>247453.10219999999</v>
      </c>
      <c r="C308">
        <v>242638.80119999999</v>
      </c>
      <c r="D308">
        <v>6730</v>
      </c>
      <c r="E308">
        <f t="shared" si="28"/>
        <v>36.768663031203566</v>
      </c>
      <c r="F308">
        <f t="shared" si="29"/>
        <v>4814.3010000000068</v>
      </c>
      <c r="G308">
        <f t="shared" si="30"/>
        <v>1.9455407740691509E-2</v>
      </c>
      <c r="H308">
        <f t="shared" si="31"/>
        <v>0.71534933135215795</v>
      </c>
      <c r="I308">
        <f t="shared" si="32"/>
        <v>36.053313699851408</v>
      </c>
      <c r="J308" t="b">
        <f t="shared" si="33"/>
        <v>1</v>
      </c>
      <c r="K308">
        <f t="shared" si="34"/>
        <v>6730</v>
      </c>
    </row>
    <row r="309" spans="1:11" x14ac:dyDescent="0.3">
      <c r="A309" s="1">
        <v>41681</v>
      </c>
      <c r="B309">
        <v>148476.18119999999</v>
      </c>
      <c r="C309">
        <v>145646.33679999999</v>
      </c>
      <c r="D309">
        <v>4038</v>
      </c>
      <c r="E309">
        <f t="shared" si="28"/>
        <v>36.769732838038628</v>
      </c>
      <c r="F309">
        <f t="shared" si="29"/>
        <v>2829.8444000000018</v>
      </c>
      <c r="G309">
        <f t="shared" si="30"/>
        <v>1.9059248272207056E-2</v>
      </c>
      <c r="H309">
        <f t="shared" si="31"/>
        <v>0.70080346706289731</v>
      </c>
      <c r="I309">
        <f t="shared" si="32"/>
        <v>36.068929370975731</v>
      </c>
      <c r="J309" t="b">
        <f t="shared" si="33"/>
        <v>1</v>
      </c>
      <c r="K309">
        <f t="shared" si="34"/>
        <v>4038</v>
      </c>
    </row>
    <row r="310" spans="1:11" x14ac:dyDescent="0.3">
      <c r="A310" s="1">
        <v>41709</v>
      </c>
      <c r="B310">
        <v>205368.92259999999</v>
      </c>
      <c r="C310">
        <v>201281.239</v>
      </c>
      <c r="D310">
        <v>5581</v>
      </c>
      <c r="E310">
        <f t="shared" si="28"/>
        <v>36.7978718150869</v>
      </c>
      <c r="F310">
        <f t="shared" si="29"/>
        <v>4087.6835999999894</v>
      </c>
      <c r="G310">
        <f t="shared" si="30"/>
        <v>1.9904100134768829E-2</v>
      </c>
      <c r="H310">
        <f t="shared" si="31"/>
        <v>0.7324285253538747</v>
      </c>
      <c r="I310">
        <f t="shared" si="32"/>
        <v>36.065443289733025</v>
      </c>
      <c r="J310" t="b">
        <f t="shared" si="33"/>
        <v>1</v>
      </c>
      <c r="K310">
        <f t="shared" si="34"/>
        <v>5581</v>
      </c>
    </row>
    <row r="311" spans="1:11" x14ac:dyDescent="0.3">
      <c r="A311" s="1">
        <v>41740</v>
      </c>
      <c r="B311">
        <v>99244.681849999994</v>
      </c>
      <c r="C311">
        <v>90949.442249999993</v>
      </c>
      <c r="D311">
        <v>2519</v>
      </c>
      <c r="E311">
        <f t="shared" si="28"/>
        <v>39.398444561333861</v>
      </c>
      <c r="F311">
        <f t="shared" si="29"/>
        <v>8295.2396000000008</v>
      </c>
      <c r="G311">
        <f t="shared" si="30"/>
        <v>8.3583719000052403E-2</v>
      </c>
      <c r="H311">
        <f t="shared" si="31"/>
        <v>3.2930685192536728</v>
      </c>
      <c r="I311">
        <f t="shared" si="32"/>
        <v>36.105376042080188</v>
      </c>
      <c r="J311" t="b">
        <f t="shared" si="33"/>
        <v>1</v>
      </c>
      <c r="K311">
        <f t="shared" si="34"/>
        <v>2519</v>
      </c>
    </row>
    <row r="312" spans="1:11" x14ac:dyDescent="0.3">
      <c r="A312" s="1">
        <v>41770</v>
      </c>
      <c r="B312">
        <v>72756.863100000002</v>
      </c>
      <c r="C312">
        <v>67872.77433</v>
      </c>
      <c r="D312">
        <v>1847</v>
      </c>
      <c r="E312">
        <f t="shared" si="28"/>
        <v>39.391912885760696</v>
      </c>
      <c r="F312">
        <f t="shared" si="29"/>
        <v>4884.0887700000021</v>
      </c>
      <c r="G312">
        <f t="shared" si="30"/>
        <v>6.7128908008129914E-2</v>
      </c>
      <c r="H312">
        <f t="shared" si="31"/>
        <v>2.6443360963724984</v>
      </c>
      <c r="I312">
        <f t="shared" si="32"/>
        <v>36.747576789388198</v>
      </c>
      <c r="J312" t="b">
        <f t="shared" si="33"/>
        <v>1</v>
      </c>
      <c r="K312">
        <f t="shared" si="34"/>
        <v>1847</v>
      </c>
    </row>
    <row r="313" spans="1:11" x14ac:dyDescent="0.3">
      <c r="A313" s="1">
        <v>41801</v>
      </c>
      <c r="B313">
        <v>86867.458079999997</v>
      </c>
      <c r="C313">
        <v>84486.086089999997</v>
      </c>
      <c r="D313">
        <v>2309</v>
      </c>
      <c r="E313">
        <f t="shared" si="28"/>
        <v>37.621246461671717</v>
      </c>
      <c r="F313">
        <f t="shared" si="29"/>
        <v>2381.3719899999996</v>
      </c>
      <c r="G313">
        <f t="shared" si="30"/>
        <v>2.7413856035788352E-2</v>
      </c>
      <c r="H313">
        <f t="shared" si="31"/>
        <v>1.0313434343871819</v>
      </c>
      <c r="I313">
        <f t="shared" si="32"/>
        <v>36.589903027284535</v>
      </c>
      <c r="J313" t="b">
        <f t="shared" si="33"/>
        <v>1</v>
      </c>
      <c r="K313">
        <f t="shared" si="34"/>
        <v>2309</v>
      </c>
    </row>
    <row r="314" spans="1:11" x14ac:dyDescent="0.3">
      <c r="A314" s="1">
        <v>41831</v>
      </c>
      <c r="B314">
        <v>140167.8039</v>
      </c>
      <c r="C314">
        <v>136539.20329999999</v>
      </c>
      <c r="D314">
        <v>3722</v>
      </c>
      <c r="E314">
        <f t="shared" si="28"/>
        <v>37.659270257925847</v>
      </c>
      <c r="F314">
        <f t="shared" si="29"/>
        <v>3628.6006000000052</v>
      </c>
      <c r="G314">
        <f t="shared" si="30"/>
        <v>2.5887546919039696E-2</v>
      </c>
      <c r="H314">
        <f t="shared" si="31"/>
        <v>0.97490612573885471</v>
      </c>
      <c r="I314">
        <f t="shared" si="32"/>
        <v>36.684364132186992</v>
      </c>
      <c r="J314" t="b">
        <f t="shared" si="33"/>
        <v>1</v>
      </c>
      <c r="K314">
        <f t="shared" si="34"/>
        <v>3722</v>
      </c>
    </row>
    <row r="315" spans="1:11" x14ac:dyDescent="0.3">
      <c r="A315" s="1">
        <v>41862</v>
      </c>
      <c r="B315">
        <v>160727.3028</v>
      </c>
      <c r="C315">
        <v>156700.82500000001</v>
      </c>
      <c r="D315">
        <v>4268</v>
      </c>
      <c r="E315">
        <f t="shared" si="28"/>
        <v>37.658693252108719</v>
      </c>
      <c r="F315">
        <f t="shared" si="29"/>
        <v>4026.4777999999933</v>
      </c>
      <c r="G315">
        <f t="shared" si="30"/>
        <v>2.5051610584234808E-2</v>
      </c>
      <c r="H315">
        <f t="shared" si="31"/>
        <v>0.94341091846298042</v>
      </c>
      <c r="I315">
        <f t="shared" si="32"/>
        <v>36.715282333645739</v>
      </c>
      <c r="J315" t="b">
        <f t="shared" si="33"/>
        <v>1</v>
      </c>
      <c r="K315">
        <f t="shared" si="34"/>
        <v>4268</v>
      </c>
    </row>
    <row r="316" spans="1:11" x14ac:dyDescent="0.3">
      <c r="A316" s="1">
        <v>41893</v>
      </c>
      <c r="B316">
        <v>74115.628779999999</v>
      </c>
      <c r="C316">
        <v>71994.346390000006</v>
      </c>
      <c r="D316">
        <v>1968</v>
      </c>
      <c r="E316">
        <f t="shared" si="28"/>
        <v>37.660380477642278</v>
      </c>
      <c r="F316">
        <f t="shared" si="29"/>
        <v>2121.282389999993</v>
      </c>
      <c r="G316">
        <f t="shared" si="30"/>
        <v>2.862125606863121E-2</v>
      </c>
      <c r="H316">
        <f t="shared" si="31"/>
        <v>1.0778873932926842</v>
      </c>
      <c r="I316">
        <f t="shared" si="32"/>
        <v>36.582493084349593</v>
      </c>
      <c r="J316" t="b">
        <f t="shared" si="33"/>
        <v>1</v>
      </c>
      <c r="K316">
        <f t="shared" si="34"/>
        <v>1968</v>
      </c>
    </row>
    <row r="317" spans="1:11" x14ac:dyDescent="0.3">
      <c r="A317" s="1">
        <v>41923</v>
      </c>
      <c r="B317">
        <v>76103.291519999999</v>
      </c>
      <c r="C317">
        <v>73967.605689999997</v>
      </c>
      <c r="D317">
        <v>2016</v>
      </c>
      <c r="E317">
        <f t="shared" si="28"/>
        <v>37.749648571428573</v>
      </c>
      <c r="F317">
        <f t="shared" si="29"/>
        <v>2135.6858300000022</v>
      </c>
      <c r="G317">
        <f t="shared" si="30"/>
        <v>2.8062988963345199E-2</v>
      </c>
      <c r="H317">
        <f t="shared" si="31"/>
        <v>1.0593679712301594</v>
      </c>
      <c r="I317">
        <f t="shared" si="32"/>
        <v>36.690280600198413</v>
      </c>
      <c r="J317" t="b">
        <f t="shared" si="33"/>
        <v>1</v>
      </c>
      <c r="K317">
        <f t="shared" si="34"/>
        <v>2016</v>
      </c>
    </row>
    <row r="318" spans="1:11" x14ac:dyDescent="0.3">
      <c r="A318" s="1">
        <v>41954</v>
      </c>
      <c r="B318">
        <v>56303.366569999998</v>
      </c>
      <c r="C318">
        <v>54996.866609999997</v>
      </c>
      <c r="D318">
        <v>1497</v>
      </c>
      <c r="E318">
        <f t="shared" si="28"/>
        <v>37.610799311957244</v>
      </c>
      <c r="F318">
        <f t="shared" si="29"/>
        <v>1306.499960000001</v>
      </c>
      <c r="G318">
        <f t="shared" si="30"/>
        <v>2.3204650797846615E-2</v>
      </c>
      <c r="H318">
        <f t="shared" si="31"/>
        <v>0.87274546426185395</v>
      </c>
      <c r="I318">
        <f t="shared" si="32"/>
        <v>36.73805384769539</v>
      </c>
      <c r="J318" t="b">
        <f t="shared" si="33"/>
        <v>1</v>
      </c>
      <c r="K318">
        <f t="shared" si="34"/>
        <v>1497</v>
      </c>
    </row>
    <row r="319" spans="1:11" x14ac:dyDescent="0.3">
      <c r="A319" s="1">
        <v>41984</v>
      </c>
      <c r="B319">
        <v>49436.815860000002</v>
      </c>
      <c r="C319">
        <v>48289.89228</v>
      </c>
      <c r="D319">
        <v>1314</v>
      </c>
      <c r="E319">
        <f t="shared" si="28"/>
        <v>37.623147534246577</v>
      </c>
      <c r="F319">
        <f t="shared" si="29"/>
        <v>1146.9235800000024</v>
      </c>
      <c r="G319">
        <f t="shared" si="30"/>
        <v>2.3199786637714947E-2</v>
      </c>
      <c r="H319">
        <f t="shared" si="31"/>
        <v>0.87284899543379169</v>
      </c>
      <c r="I319">
        <f t="shared" si="32"/>
        <v>36.750298538812785</v>
      </c>
      <c r="J319" t="b">
        <f t="shared" si="33"/>
        <v>1</v>
      </c>
      <c r="K319">
        <f t="shared" si="34"/>
        <v>1314</v>
      </c>
    </row>
    <row r="320" spans="1:11" x14ac:dyDescent="0.3">
      <c r="A320" t="s">
        <v>190</v>
      </c>
      <c r="B320">
        <v>55033.1224</v>
      </c>
      <c r="C320">
        <v>53997.218869999997</v>
      </c>
      <c r="D320">
        <v>1466</v>
      </c>
      <c r="E320">
        <f t="shared" si="28"/>
        <v>37.539646930422919</v>
      </c>
      <c r="F320">
        <f t="shared" si="29"/>
        <v>1035.9035300000032</v>
      </c>
      <c r="G320">
        <f t="shared" si="30"/>
        <v>1.8823273781754444E-2</v>
      </c>
      <c r="H320">
        <f t="shared" si="31"/>
        <v>0.70661905184174856</v>
      </c>
      <c r="I320">
        <f t="shared" si="32"/>
        <v>36.83302787858117</v>
      </c>
      <c r="J320" t="b">
        <f t="shared" si="33"/>
        <v>1</v>
      </c>
      <c r="K320">
        <f t="shared" si="34"/>
        <v>1466</v>
      </c>
    </row>
    <row r="321" spans="1:11" x14ac:dyDescent="0.3">
      <c r="A321" t="s">
        <v>191</v>
      </c>
      <c r="B321">
        <v>149808.16589999999</v>
      </c>
      <c r="C321">
        <v>146994.89550000001</v>
      </c>
      <c r="D321">
        <v>3984</v>
      </c>
      <c r="E321">
        <f t="shared" si="28"/>
        <v>37.602451280120484</v>
      </c>
      <c r="F321">
        <f t="shared" si="29"/>
        <v>2813.2703999999794</v>
      </c>
      <c r="G321">
        <f t="shared" si="30"/>
        <v>1.8779152545515407E-2</v>
      </c>
      <c r="H321">
        <f t="shared" si="31"/>
        <v>0.70614216867469537</v>
      </c>
      <c r="I321">
        <f t="shared" si="32"/>
        <v>36.896309111445788</v>
      </c>
      <c r="J321" t="b">
        <f t="shared" si="33"/>
        <v>1</v>
      </c>
      <c r="K321">
        <f t="shared" si="34"/>
        <v>3984</v>
      </c>
    </row>
    <row r="322" spans="1:11" x14ac:dyDescent="0.3">
      <c r="A322" t="s">
        <v>192</v>
      </c>
      <c r="B322">
        <v>180685.51070000001</v>
      </c>
      <c r="C322">
        <v>176898.27780000001</v>
      </c>
      <c r="D322">
        <v>4802</v>
      </c>
      <c r="E322">
        <f t="shared" si="28"/>
        <v>37.627136755518535</v>
      </c>
      <c r="F322">
        <f t="shared" si="29"/>
        <v>3787.2329000000027</v>
      </c>
      <c r="G322">
        <f t="shared" si="30"/>
        <v>2.0960357503641284E-2</v>
      </c>
      <c r="H322">
        <f t="shared" si="31"/>
        <v>0.78867823823406979</v>
      </c>
      <c r="I322">
        <f t="shared" si="32"/>
        <v>36.838458517284465</v>
      </c>
      <c r="J322" t="b">
        <f t="shared" si="33"/>
        <v>1</v>
      </c>
      <c r="K322">
        <f t="shared" si="34"/>
        <v>4802</v>
      </c>
    </row>
    <row r="323" spans="1:11" x14ac:dyDescent="0.3">
      <c r="A323" t="s">
        <v>193</v>
      </c>
      <c r="B323">
        <v>75871.43677</v>
      </c>
      <c r="C323">
        <v>73905.810159999994</v>
      </c>
      <c r="D323">
        <v>2017</v>
      </c>
      <c r="E323">
        <f t="shared" ref="E323:E386" si="35">B323/D323</f>
        <v>37.615982533465541</v>
      </c>
      <c r="F323">
        <f t="shared" ref="F323:F386" si="36">B323-C323</f>
        <v>1965.6266100000066</v>
      </c>
      <c r="G323">
        <f t="shared" ref="G323:H386" si="37">F323/B323</f>
        <v>2.5907333427185427E-2</v>
      </c>
      <c r="H323">
        <f t="shared" ref="H323:H386" si="38">E323-I323</f>
        <v>0.97452980168567649</v>
      </c>
      <c r="I323">
        <f t="shared" ref="I323:I386" si="39">C323/D323</f>
        <v>36.641452731779864</v>
      </c>
      <c r="J323" t="b">
        <f t="shared" ref="J323:J386" si="40">H323&gt;0</f>
        <v>1</v>
      </c>
      <c r="K323">
        <f t="shared" ref="K323:K386" si="41">D323</f>
        <v>2017</v>
      </c>
    </row>
    <row r="324" spans="1:11" x14ac:dyDescent="0.3">
      <c r="A324" t="s">
        <v>194</v>
      </c>
      <c r="B324">
        <v>86313.334080000001</v>
      </c>
      <c r="C324">
        <v>84418.789109999998</v>
      </c>
      <c r="D324">
        <v>2297</v>
      </c>
      <c r="E324">
        <f t="shared" si="35"/>
        <v>37.576549447104917</v>
      </c>
      <c r="F324">
        <f t="shared" si="36"/>
        <v>1894.5449700000026</v>
      </c>
      <c r="G324">
        <f t="shared" si="37"/>
        <v>2.1949620996496704E-2</v>
      </c>
      <c r="H324">
        <f t="shared" si="38"/>
        <v>0.82479101872007021</v>
      </c>
      <c r="I324">
        <f t="shared" si="39"/>
        <v>36.751758428384846</v>
      </c>
      <c r="J324" t="b">
        <f t="shared" si="40"/>
        <v>1</v>
      </c>
      <c r="K324">
        <f t="shared" si="41"/>
        <v>2297</v>
      </c>
    </row>
    <row r="325" spans="1:11" x14ac:dyDescent="0.3">
      <c r="A325" t="s">
        <v>195</v>
      </c>
      <c r="B325">
        <v>62631.798750000002</v>
      </c>
      <c r="C325">
        <v>61158.361089999999</v>
      </c>
      <c r="D325">
        <v>1665</v>
      </c>
      <c r="E325">
        <f t="shared" si="35"/>
        <v>37.616695945945949</v>
      </c>
      <c r="F325">
        <f t="shared" si="36"/>
        <v>1473.4376600000032</v>
      </c>
      <c r="G325">
        <f t="shared" si="37"/>
        <v>2.3525392682419217E-2</v>
      </c>
      <c r="H325">
        <f t="shared" si="38"/>
        <v>0.88494754354354654</v>
      </c>
      <c r="I325">
        <f t="shared" si="39"/>
        <v>36.731748402402403</v>
      </c>
      <c r="J325" t="b">
        <f t="shared" si="40"/>
        <v>1</v>
      </c>
      <c r="K325">
        <f t="shared" si="41"/>
        <v>1665</v>
      </c>
    </row>
    <row r="326" spans="1:11" x14ac:dyDescent="0.3">
      <c r="A326" t="s">
        <v>196</v>
      </c>
      <c r="B326">
        <v>48529.103360000001</v>
      </c>
      <c r="C326">
        <v>47409.554060000002</v>
      </c>
      <c r="D326">
        <v>1291</v>
      </c>
      <c r="E326">
        <f t="shared" si="35"/>
        <v>37.590320185902399</v>
      </c>
      <c r="F326">
        <f t="shared" si="36"/>
        <v>1119.5492999999988</v>
      </c>
      <c r="G326">
        <f t="shared" si="37"/>
        <v>2.3069647335021332E-2</v>
      </c>
      <c r="H326">
        <f t="shared" si="38"/>
        <v>0.86719542989929721</v>
      </c>
      <c r="I326">
        <f t="shared" si="39"/>
        <v>36.723124756003102</v>
      </c>
      <c r="J326" t="b">
        <f t="shared" si="40"/>
        <v>1</v>
      </c>
      <c r="K326">
        <f t="shared" si="41"/>
        <v>1291</v>
      </c>
    </row>
    <row r="327" spans="1:11" x14ac:dyDescent="0.3">
      <c r="A327" t="s">
        <v>197</v>
      </c>
      <c r="B327">
        <v>51040.881370000003</v>
      </c>
      <c r="C327">
        <v>50038.142630000002</v>
      </c>
      <c r="D327">
        <v>1361</v>
      </c>
      <c r="E327">
        <f t="shared" si="35"/>
        <v>37.502484474650991</v>
      </c>
      <c r="F327">
        <f t="shared" si="36"/>
        <v>1002.7387400000007</v>
      </c>
      <c r="G327">
        <f t="shared" si="37"/>
        <v>1.9645795940141708E-2</v>
      </c>
      <c r="H327">
        <f t="shared" si="38"/>
        <v>0.73676615723732652</v>
      </c>
      <c r="I327">
        <f t="shared" si="39"/>
        <v>36.765718317413665</v>
      </c>
      <c r="J327" t="b">
        <f t="shared" si="40"/>
        <v>1</v>
      </c>
      <c r="K327">
        <f t="shared" si="41"/>
        <v>1361</v>
      </c>
    </row>
    <row r="328" spans="1:11" x14ac:dyDescent="0.3">
      <c r="A328" t="s">
        <v>198</v>
      </c>
      <c r="B328">
        <v>53973.92224</v>
      </c>
      <c r="C328">
        <v>47192.49828</v>
      </c>
      <c r="D328">
        <v>1281</v>
      </c>
      <c r="E328">
        <f t="shared" si="35"/>
        <v>42.134209398907103</v>
      </c>
      <c r="F328">
        <f t="shared" si="36"/>
        <v>6781.4239600000001</v>
      </c>
      <c r="G328">
        <f t="shared" si="37"/>
        <v>0.12564260069605052</v>
      </c>
      <c r="H328">
        <f t="shared" si="38"/>
        <v>5.2938516471506603</v>
      </c>
      <c r="I328">
        <f t="shared" si="39"/>
        <v>36.840357751756443</v>
      </c>
      <c r="J328" t="b">
        <f t="shared" si="40"/>
        <v>1</v>
      </c>
      <c r="K328">
        <f t="shared" si="41"/>
        <v>1281</v>
      </c>
    </row>
    <row r="329" spans="1:11" x14ac:dyDescent="0.3">
      <c r="A329" t="s">
        <v>199</v>
      </c>
      <c r="B329">
        <v>47497.982530000001</v>
      </c>
      <c r="C329">
        <v>41179.088250000001</v>
      </c>
      <c r="D329">
        <v>1122</v>
      </c>
      <c r="E329">
        <f t="shared" si="35"/>
        <v>42.33331776292335</v>
      </c>
      <c r="F329">
        <f t="shared" si="36"/>
        <v>6318.8942800000004</v>
      </c>
      <c r="G329">
        <f t="shared" si="37"/>
        <v>0.13303500366587045</v>
      </c>
      <c r="H329">
        <f t="shared" si="38"/>
        <v>5.6318130837789653</v>
      </c>
      <c r="I329">
        <f t="shared" si="39"/>
        <v>36.701504679144385</v>
      </c>
      <c r="J329" t="b">
        <f t="shared" si="40"/>
        <v>1</v>
      </c>
      <c r="K329">
        <f t="shared" si="41"/>
        <v>1122</v>
      </c>
    </row>
    <row r="330" spans="1:11" x14ac:dyDescent="0.3">
      <c r="A330" t="s">
        <v>200</v>
      </c>
      <c r="B330">
        <v>31219.951529999998</v>
      </c>
      <c r="C330">
        <v>26893.304680000001</v>
      </c>
      <c r="D330">
        <v>737</v>
      </c>
      <c r="E330">
        <f t="shared" si="35"/>
        <v>42.360856892808684</v>
      </c>
      <c r="F330">
        <f t="shared" si="36"/>
        <v>4326.6468499999974</v>
      </c>
      <c r="G330">
        <f t="shared" si="37"/>
        <v>0.13858595667076609</v>
      </c>
      <c r="H330">
        <f t="shared" si="38"/>
        <v>5.870619877883307</v>
      </c>
      <c r="I330">
        <f t="shared" si="39"/>
        <v>36.490237014925377</v>
      </c>
      <c r="J330" t="b">
        <f t="shared" si="40"/>
        <v>1</v>
      </c>
      <c r="K330">
        <f t="shared" si="41"/>
        <v>737</v>
      </c>
    </row>
    <row r="331" spans="1:11" x14ac:dyDescent="0.3">
      <c r="A331" t="s">
        <v>201</v>
      </c>
      <c r="B331">
        <v>26870.32387</v>
      </c>
      <c r="C331">
        <v>23516.041720000001</v>
      </c>
      <c r="D331">
        <v>641</v>
      </c>
      <c r="E331">
        <f t="shared" si="35"/>
        <v>41.919382012480497</v>
      </c>
      <c r="F331">
        <f t="shared" si="36"/>
        <v>3354.2821499999991</v>
      </c>
      <c r="G331">
        <f t="shared" si="37"/>
        <v>0.12483221885334124</v>
      </c>
      <c r="H331">
        <f t="shared" si="38"/>
        <v>5.2328894695787795</v>
      </c>
      <c r="I331">
        <f t="shared" si="39"/>
        <v>36.686492542901718</v>
      </c>
      <c r="J331" t="b">
        <f t="shared" si="40"/>
        <v>1</v>
      </c>
      <c r="K331">
        <f t="shared" si="41"/>
        <v>641</v>
      </c>
    </row>
    <row r="332" spans="1:11" x14ac:dyDescent="0.3">
      <c r="A332" t="s">
        <v>202</v>
      </c>
      <c r="B332">
        <v>40530.642290000003</v>
      </c>
      <c r="C332">
        <v>35674.190759999998</v>
      </c>
      <c r="D332">
        <v>968</v>
      </c>
      <c r="E332">
        <f t="shared" si="35"/>
        <v>41.870498233471075</v>
      </c>
      <c r="F332">
        <f t="shared" si="36"/>
        <v>4856.4515300000057</v>
      </c>
      <c r="G332">
        <f t="shared" si="37"/>
        <v>0.11982172636820568</v>
      </c>
      <c r="H332">
        <f t="shared" si="38"/>
        <v>5.0169953822314071</v>
      </c>
      <c r="I332">
        <f t="shared" si="39"/>
        <v>36.853502851239668</v>
      </c>
      <c r="J332" t="b">
        <f t="shared" si="40"/>
        <v>1</v>
      </c>
      <c r="K332">
        <f t="shared" si="41"/>
        <v>968</v>
      </c>
    </row>
    <row r="333" spans="1:11" x14ac:dyDescent="0.3">
      <c r="A333" t="s">
        <v>203</v>
      </c>
      <c r="B333">
        <v>30371.431339999999</v>
      </c>
      <c r="C333">
        <v>26054.849170000001</v>
      </c>
      <c r="D333">
        <v>709</v>
      </c>
      <c r="E333">
        <f t="shared" si="35"/>
        <v>42.836997658674186</v>
      </c>
      <c r="F333">
        <f t="shared" si="36"/>
        <v>4316.5821699999979</v>
      </c>
      <c r="G333">
        <f t="shared" si="37"/>
        <v>0.14212639903852481</v>
      </c>
      <c r="H333">
        <f t="shared" si="38"/>
        <v>6.0882682228490808</v>
      </c>
      <c r="I333">
        <f t="shared" si="39"/>
        <v>36.748729435825105</v>
      </c>
      <c r="J333" t="b">
        <f t="shared" si="40"/>
        <v>1</v>
      </c>
      <c r="K333">
        <f t="shared" si="41"/>
        <v>709</v>
      </c>
    </row>
    <row r="334" spans="1:11" x14ac:dyDescent="0.3">
      <c r="A334" t="s">
        <v>204</v>
      </c>
      <c r="B334">
        <v>37776.658770000002</v>
      </c>
      <c r="C334">
        <v>32719.689640000001</v>
      </c>
      <c r="D334">
        <v>880</v>
      </c>
      <c r="E334">
        <f t="shared" si="35"/>
        <v>42.928021329545459</v>
      </c>
      <c r="F334">
        <f t="shared" si="36"/>
        <v>5056.9691300000013</v>
      </c>
      <c r="G334">
        <f t="shared" si="37"/>
        <v>0.13386491274384352</v>
      </c>
      <c r="H334">
        <f t="shared" si="38"/>
        <v>5.7465558295454571</v>
      </c>
      <c r="I334">
        <f t="shared" si="39"/>
        <v>37.181465500000002</v>
      </c>
      <c r="J334" t="b">
        <f t="shared" si="40"/>
        <v>1</v>
      </c>
      <c r="K334">
        <f t="shared" si="41"/>
        <v>880</v>
      </c>
    </row>
    <row r="335" spans="1:11" x14ac:dyDescent="0.3">
      <c r="A335" t="s">
        <v>205</v>
      </c>
      <c r="B335">
        <v>46818.205320000001</v>
      </c>
      <c r="C335">
        <v>40652.576410000001</v>
      </c>
      <c r="D335">
        <v>1096</v>
      </c>
      <c r="E335">
        <f t="shared" si="35"/>
        <v>42.717340620437959</v>
      </c>
      <c r="F335">
        <f t="shared" si="36"/>
        <v>6165.6289099999995</v>
      </c>
      <c r="G335">
        <f t="shared" si="37"/>
        <v>0.13169297857229353</v>
      </c>
      <c r="H335">
        <f t="shared" si="38"/>
        <v>5.625573822992699</v>
      </c>
      <c r="I335">
        <f t="shared" si="39"/>
        <v>37.09176679744526</v>
      </c>
      <c r="J335" t="b">
        <f t="shared" si="40"/>
        <v>1</v>
      </c>
      <c r="K335">
        <f t="shared" si="41"/>
        <v>1096</v>
      </c>
    </row>
    <row r="336" spans="1:11" x14ac:dyDescent="0.3">
      <c r="A336" t="s">
        <v>206</v>
      </c>
      <c r="B336">
        <v>88321.625549999997</v>
      </c>
      <c r="C336">
        <v>79880.24368</v>
      </c>
      <c r="D336">
        <v>2068</v>
      </c>
      <c r="E336">
        <f t="shared" si="35"/>
        <v>42.708716416827855</v>
      </c>
      <c r="F336">
        <f t="shared" si="36"/>
        <v>8441.3818699999974</v>
      </c>
      <c r="G336">
        <f t="shared" si="37"/>
        <v>9.5575481287096822E-2</v>
      </c>
      <c r="H336">
        <f t="shared" si="38"/>
        <v>4.0819061266924592</v>
      </c>
      <c r="I336">
        <f t="shared" si="39"/>
        <v>38.626810290135396</v>
      </c>
      <c r="J336" t="b">
        <f t="shared" si="40"/>
        <v>1</v>
      </c>
      <c r="K336">
        <f t="shared" si="41"/>
        <v>2068</v>
      </c>
    </row>
    <row r="337" spans="1:11" x14ac:dyDescent="0.3">
      <c r="A337" t="s">
        <v>207</v>
      </c>
      <c r="B337">
        <v>101037.8278</v>
      </c>
      <c r="C337">
        <v>93177.884699999995</v>
      </c>
      <c r="D337">
        <v>2375</v>
      </c>
      <c r="E337">
        <f t="shared" si="35"/>
        <v>42.542243284210528</v>
      </c>
      <c r="F337">
        <f t="shared" si="36"/>
        <v>7859.9431000000041</v>
      </c>
      <c r="G337">
        <f t="shared" si="37"/>
        <v>7.7792083135025628E-2</v>
      </c>
      <c r="H337">
        <f t="shared" si="38"/>
        <v>3.3094497263157905</v>
      </c>
      <c r="I337">
        <f t="shared" si="39"/>
        <v>39.232793557894738</v>
      </c>
      <c r="J337" t="b">
        <f t="shared" si="40"/>
        <v>1</v>
      </c>
      <c r="K337">
        <f t="shared" si="41"/>
        <v>2375</v>
      </c>
    </row>
    <row r="338" spans="1:11" x14ac:dyDescent="0.3">
      <c r="A338" s="1">
        <v>41651</v>
      </c>
      <c r="B338">
        <v>105100.6676</v>
      </c>
      <c r="C338">
        <v>97257.394669999994</v>
      </c>
      <c r="D338">
        <v>2492</v>
      </c>
      <c r="E338">
        <f t="shared" si="35"/>
        <v>42.175227768860353</v>
      </c>
      <c r="F338">
        <f t="shared" si="36"/>
        <v>7843.2729300000065</v>
      </c>
      <c r="G338">
        <f t="shared" si="37"/>
        <v>7.4626290290091421E-2</v>
      </c>
      <c r="H338">
        <f t="shared" si="38"/>
        <v>3.1473807905296951</v>
      </c>
      <c r="I338">
        <f t="shared" si="39"/>
        <v>39.027846978330658</v>
      </c>
      <c r="J338" t="b">
        <f t="shared" si="40"/>
        <v>1</v>
      </c>
      <c r="K338">
        <f t="shared" si="41"/>
        <v>2492</v>
      </c>
    </row>
    <row r="339" spans="1:11" x14ac:dyDescent="0.3">
      <c r="A339" s="1">
        <v>41682</v>
      </c>
      <c r="B339">
        <v>88219.52549</v>
      </c>
      <c r="C339">
        <v>85533.428920000006</v>
      </c>
      <c r="D339">
        <v>2170</v>
      </c>
      <c r="E339">
        <f t="shared" si="35"/>
        <v>40.654159211981565</v>
      </c>
      <c r="F339">
        <f t="shared" si="36"/>
        <v>2686.0965699999942</v>
      </c>
      <c r="G339">
        <f t="shared" si="37"/>
        <v>3.0447869165930539E-2</v>
      </c>
      <c r="H339">
        <f t="shared" si="38"/>
        <v>1.2378325207373209</v>
      </c>
      <c r="I339">
        <f t="shared" si="39"/>
        <v>39.416326691244244</v>
      </c>
      <c r="J339" t="b">
        <f t="shared" si="40"/>
        <v>1</v>
      </c>
      <c r="K339">
        <f t="shared" si="41"/>
        <v>2170</v>
      </c>
    </row>
    <row r="340" spans="1:11" x14ac:dyDescent="0.3">
      <c r="A340" s="1">
        <v>41710</v>
      </c>
      <c r="B340">
        <v>71590.369290000002</v>
      </c>
      <c r="C340">
        <v>69654.930309999996</v>
      </c>
      <c r="D340">
        <v>1784</v>
      </c>
      <c r="E340">
        <f t="shared" si="35"/>
        <v>40.12913076793722</v>
      </c>
      <c r="F340">
        <f t="shared" si="36"/>
        <v>1935.4389800000063</v>
      </c>
      <c r="G340">
        <f t="shared" si="37"/>
        <v>2.7034907057957518E-2</v>
      </c>
      <c r="H340">
        <f t="shared" si="38"/>
        <v>1.0848873206278071</v>
      </c>
      <c r="I340">
        <f t="shared" si="39"/>
        <v>39.044243447309412</v>
      </c>
      <c r="J340" t="b">
        <f t="shared" si="40"/>
        <v>1</v>
      </c>
      <c r="K340">
        <f t="shared" si="41"/>
        <v>1784</v>
      </c>
    </row>
    <row r="341" spans="1:11" x14ac:dyDescent="0.3">
      <c r="A341" s="1">
        <v>41741</v>
      </c>
      <c r="B341">
        <v>54996.62169</v>
      </c>
      <c r="C341">
        <v>54503.028550000003</v>
      </c>
      <c r="D341">
        <v>1368</v>
      </c>
      <c r="E341">
        <f t="shared" si="35"/>
        <v>40.202208837719297</v>
      </c>
      <c r="F341">
        <f t="shared" si="36"/>
        <v>493.59313999999722</v>
      </c>
      <c r="G341">
        <f t="shared" si="37"/>
        <v>8.9749720043212564E-3</v>
      </c>
      <c r="H341">
        <f t="shared" si="38"/>
        <v>0.36081369883040537</v>
      </c>
      <c r="I341">
        <f t="shared" si="39"/>
        <v>39.841395138888892</v>
      </c>
      <c r="J341" t="b">
        <f t="shared" si="40"/>
        <v>1</v>
      </c>
      <c r="K341">
        <f t="shared" si="41"/>
        <v>1368</v>
      </c>
    </row>
    <row r="342" spans="1:11" x14ac:dyDescent="0.3">
      <c r="A342" s="1">
        <v>41771</v>
      </c>
      <c r="B342">
        <v>77884.18161</v>
      </c>
      <c r="C342">
        <v>77619.294890000005</v>
      </c>
      <c r="D342">
        <v>1914</v>
      </c>
      <c r="E342">
        <f t="shared" si="35"/>
        <v>40.691839921630091</v>
      </c>
      <c r="F342">
        <f t="shared" si="36"/>
        <v>264.88671999999497</v>
      </c>
      <c r="G342">
        <f t="shared" si="37"/>
        <v>3.4010336184361295E-3</v>
      </c>
      <c r="H342">
        <f t="shared" si="38"/>
        <v>0.13839431556948512</v>
      </c>
      <c r="I342">
        <f t="shared" si="39"/>
        <v>40.553445606060606</v>
      </c>
      <c r="J342" t="b">
        <f t="shared" si="40"/>
        <v>1</v>
      </c>
      <c r="K342">
        <f t="shared" si="41"/>
        <v>1914</v>
      </c>
    </row>
    <row r="343" spans="1:11" x14ac:dyDescent="0.3">
      <c r="A343" s="1">
        <v>41802</v>
      </c>
      <c r="B343">
        <v>150370.11670000001</v>
      </c>
      <c r="C343">
        <v>154998.8346</v>
      </c>
      <c r="D343">
        <v>3765</v>
      </c>
      <c r="E343">
        <f t="shared" si="35"/>
        <v>39.9389420185923</v>
      </c>
      <c r="F343">
        <f t="shared" si="36"/>
        <v>-4628.7178999999887</v>
      </c>
      <c r="G343">
        <f t="shared" si="37"/>
        <v>-3.0782166041904709E-2</v>
      </c>
      <c r="H343">
        <f t="shared" si="38"/>
        <v>-1.2294071447543118</v>
      </c>
      <c r="I343">
        <f t="shared" si="39"/>
        <v>41.168349163346612</v>
      </c>
      <c r="J343" t="b">
        <f t="shared" si="40"/>
        <v>0</v>
      </c>
      <c r="K343">
        <f t="shared" si="41"/>
        <v>3765</v>
      </c>
    </row>
    <row r="344" spans="1:11" x14ac:dyDescent="0.3">
      <c r="A344" s="1">
        <v>41832</v>
      </c>
      <c r="B344">
        <v>104675.37609999999</v>
      </c>
      <c r="C344">
        <v>111903.73789999999</v>
      </c>
      <c r="D344">
        <v>2712</v>
      </c>
      <c r="E344">
        <f t="shared" si="35"/>
        <v>38.59711508112094</v>
      </c>
      <c r="F344">
        <f t="shared" si="36"/>
        <v>-7228.3617999999988</v>
      </c>
      <c r="G344">
        <f t="shared" si="37"/>
        <v>-6.9055035379997062E-2</v>
      </c>
      <c r="H344">
        <f t="shared" si="38"/>
        <v>-2.6653251474926236</v>
      </c>
      <c r="I344">
        <f t="shared" si="39"/>
        <v>41.262440228613563</v>
      </c>
      <c r="J344" t="b">
        <f t="shared" si="40"/>
        <v>0</v>
      </c>
      <c r="K344">
        <f t="shared" si="41"/>
        <v>2712</v>
      </c>
    </row>
    <row r="345" spans="1:11" x14ac:dyDescent="0.3">
      <c r="A345" s="1">
        <v>41863</v>
      </c>
      <c r="B345">
        <v>90121.530480000001</v>
      </c>
      <c r="C345">
        <v>91081.668189999997</v>
      </c>
      <c r="D345">
        <v>2222</v>
      </c>
      <c r="E345">
        <f t="shared" si="35"/>
        <v>40.55874459045905</v>
      </c>
      <c r="F345">
        <f t="shared" si="36"/>
        <v>-960.13770999999542</v>
      </c>
      <c r="G345">
        <f t="shared" si="37"/>
        <v>-1.0653810525477835E-2</v>
      </c>
      <c r="H345">
        <f t="shared" si="38"/>
        <v>-0.43210518001799869</v>
      </c>
      <c r="I345">
        <f t="shared" si="39"/>
        <v>40.990849770477048</v>
      </c>
      <c r="J345" t="b">
        <f t="shared" si="40"/>
        <v>0</v>
      </c>
      <c r="K345">
        <f t="shared" si="41"/>
        <v>2222</v>
      </c>
    </row>
    <row r="346" spans="1:11" x14ac:dyDescent="0.3">
      <c r="A346" s="1">
        <v>41894</v>
      </c>
      <c r="B346">
        <v>75425.443700000003</v>
      </c>
      <c r="C346">
        <v>77014.255959999995</v>
      </c>
      <c r="D346">
        <v>1861</v>
      </c>
      <c r="E346">
        <f t="shared" si="35"/>
        <v>40.529523750671686</v>
      </c>
      <c r="F346">
        <f t="shared" si="36"/>
        <v>-1588.8122599999915</v>
      </c>
      <c r="G346">
        <f t="shared" si="37"/>
        <v>-2.1064672371294137E-2</v>
      </c>
      <c r="H346">
        <f t="shared" si="38"/>
        <v>-0.85374113917248451</v>
      </c>
      <c r="I346">
        <f t="shared" si="39"/>
        <v>41.38326488984417</v>
      </c>
      <c r="J346" t="b">
        <f t="shared" si="40"/>
        <v>0</v>
      </c>
      <c r="K346">
        <f t="shared" si="41"/>
        <v>1861</v>
      </c>
    </row>
    <row r="347" spans="1:11" x14ac:dyDescent="0.3">
      <c r="A347" s="1">
        <v>41924</v>
      </c>
      <c r="B347">
        <v>161844.8094</v>
      </c>
      <c r="C347">
        <v>169348.51860000001</v>
      </c>
      <c r="D347">
        <v>4095</v>
      </c>
      <c r="E347">
        <f t="shared" si="35"/>
        <v>39.522541978021977</v>
      </c>
      <c r="F347">
        <f t="shared" si="36"/>
        <v>-7503.7092000000121</v>
      </c>
      <c r="G347">
        <f t="shared" si="37"/>
        <v>-4.6363607383012012E-2</v>
      </c>
      <c r="H347">
        <f t="shared" si="38"/>
        <v>-1.8324076190476219</v>
      </c>
      <c r="I347">
        <f t="shared" si="39"/>
        <v>41.354949597069599</v>
      </c>
      <c r="J347" t="b">
        <f t="shared" si="40"/>
        <v>0</v>
      </c>
      <c r="K347">
        <f t="shared" si="41"/>
        <v>4095</v>
      </c>
    </row>
    <row r="348" spans="1:11" x14ac:dyDescent="0.3">
      <c r="A348" s="1">
        <v>41955</v>
      </c>
      <c r="B348">
        <v>158603.35699999999</v>
      </c>
      <c r="C348">
        <v>171692.99359999999</v>
      </c>
      <c r="D348">
        <v>4157</v>
      </c>
      <c r="E348">
        <f t="shared" si="35"/>
        <v>38.153321385614625</v>
      </c>
      <c r="F348">
        <f t="shared" si="36"/>
        <v>-13089.636599999998</v>
      </c>
      <c r="G348">
        <f t="shared" si="37"/>
        <v>-8.2530640256246277E-2</v>
      </c>
      <c r="H348">
        <f t="shared" si="38"/>
        <v>-3.1488180418571048</v>
      </c>
      <c r="I348">
        <f t="shared" si="39"/>
        <v>41.30213942747173</v>
      </c>
      <c r="J348" t="b">
        <f t="shared" si="40"/>
        <v>0</v>
      </c>
      <c r="K348">
        <f t="shared" si="41"/>
        <v>4157</v>
      </c>
    </row>
    <row r="349" spans="1:11" x14ac:dyDescent="0.3">
      <c r="A349" s="1">
        <v>41985</v>
      </c>
      <c r="B349">
        <v>279092.09600000002</v>
      </c>
      <c r="C349">
        <v>301236.10989999998</v>
      </c>
      <c r="D349">
        <v>7259</v>
      </c>
      <c r="E349">
        <f t="shared" si="35"/>
        <v>38.447733296597328</v>
      </c>
      <c r="F349">
        <f t="shared" si="36"/>
        <v>-22144.013899999962</v>
      </c>
      <c r="G349">
        <f t="shared" si="37"/>
        <v>-7.9343034852552619E-2</v>
      </c>
      <c r="H349">
        <f t="shared" si="38"/>
        <v>-3.0505598429535752</v>
      </c>
      <c r="I349">
        <f t="shared" si="39"/>
        <v>41.498293139550903</v>
      </c>
      <c r="J349" t="b">
        <f t="shared" si="40"/>
        <v>0</v>
      </c>
      <c r="K349">
        <f t="shared" si="41"/>
        <v>7259</v>
      </c>
    </row>
    <row r="350" spans="1:11" x14ac:dyDescent="0.3">
      <c r="A350" t="s">
        <v>208</v>
      </c>
      <c r="B350">
        <v>369350.98950000003</v>
      </c>
      <c r="C350">
        <v>402564.67859999998</v>
      </c>
      <c r="D350">
        <v>9654</v>
      </c>
      <c r="E350">
        <f t="shared" si="35"/>
        <v>38.258855344934744</v>
      </c>
      <c r="F350">
        <f t="shared" si="36"/>
        <v>-33213.68909999996</v>
      </c>
      <c r="G350">
        <f t="shared" si="37"/>
        <v>-8.992446221671746E-2</v>
      </c>
      <c r="H350">
        <f t="shared" si="38"/>
        <v>-3.4404069919204403</v>
      </c>
      <c r="I350">
        <f t="shared" si="39"/>
        <v>41.699262336855185</v>
      </c>
      <c r="J350" t="b">
        <f t="shared" si="40"/>
        <v>0</v>
      </c>
      <c r="K350">
        <f t="shared" si="41"/>
        <v>9654</v>
      </c>
    </row>
    <row r="351" spans="1:11" x14ac:dyDescent="0.3">
      <c r="A351" t="s">
        <v>209</v>
      </c>
      <c r="B351">
        <v>177500.10769999999</v>
      </c>
      <c r="C351">
        <v>192327.32070000001</v>
      </c>
      <c r="D351">
        <v>4632</v>
      </c>
      <c r="E351">
        <f t="shared" si="35"/>
        <v>38.320403216753022</v>
      </c>
      <c r="F351">
        <f t="shared" si="36"/>
        <v>-14827.213000000018</v>
      </c>
      <c r="G351">
        <f t="shared" si="37"/>
        <v>-8.3533543681337266E-2</v>
      </c>
      <c r="H351">
        <f t="shared" si="38"/>
        <v>-3.2010390759930942</v>
      </c>
      <c r="I351">
        <f t="shared" si="39"/>
        <v>41.521442292746116</v>
      </c>
      <c r="J351" t="b">
        <f t="shared" si="40"/>
        <v>0</v>
      </c>
      <c r="K351">
        <f t="shared" si="41"/>
        <v>4632</v>
      </c>
    </row>
    <row r="352" spans="1:11" x14ac:dyDescent="0.3">
      <c r="A352" t="s">
        <v>210</v>
      </c>
      <c r="B352">
        <v>282246.6287</v>
      </c>
      <c r="C352">
        <v>304489.63829999999</v>
      </c>
      <c r="D352">
        <v>7341</v>
      </c>
      <c r="E352">
        <f t="shared" si="35"/>
        <v>38.447981024383601</v>
      </c>
      <c r="F352">
        <f t="shared" si="36"/>
        <v>-22243.00959999999</v>
      </c>
      <c r="G352">
        <f t="shared" si="37"/>
        <v>-7.880699834201417E-2</v>
      </c>
      <c r="H352">
        <f t="shared" si="38"/>
        <v>-3.0299699768423878</v>
      </c>
      <c r="I352">
        <f t="shared" si="39"/>
        <v>41.477951001225989</v>
      </c>
      <c r="J352" t="b">
        <f t="shared" si="40"/>
        <v>0</v>
      </c>
      <c r="K352">
        <f t="shared" si="41"/>
        <v>7341</v>
      </c>
    </row>
    <row r="353" spans="1:11" x14ac:dyDescent="0.3">
      <c r="A353" t="s">
        <v>211</v>
      </c>
      <c r="B353">
        <v>166037.92569999999</v>
      </c>
      <c r="C353">
        <v>179571.12909999999</v>
      </c>
      <c r="D353">
        <v>4308</v>
      </c>
      <c r="E353">
        <f t="shared" si="35"/>
        <v>38.541765482822655</v>
      </c>
      <c r="F353">
        <f t="shared" si="36"/>
        <v>-13533.203399999999</v>
      </c>
      <c r="G353">
        <f t="shared" si="37"/>
        <v>-8.150670000811748E-2</v>
      </c>
      <c r="H353">
        <f t="shared" si="38"/>
        <v>-3.1414121169916456</v>
      </c>
      <c r="I353">
        <f t="shared" si="39"/>
        <v>41.6831775998143</v>
      </c>
      <c r="J353" t="b">
        <f t="shared" si="40"/>
        <v>0</v>
      </c>
      <c r="K353">
        <f t="shared" si="41"/>
        <v>4308</v>
      </c>
    </row>
    <row r="354" spans="1:11" x14ac:dyDescent="0.3">
      <c r="A354" t="s">
        <v>212</v>
      </c>
      <c r="B354">
        <v>148910.99840000001</v>
      </c>
      <c r="C354">
        <v>161137.522</v>
      </c>
      <c r="D354">
        <v>3865</v>
      </c>
      <c r="E354">
        <f t="shared" si="35"/>
        <v>38.52807203104787</v>
      </c>
      <c r="F354">
        <f t="shared" si="36"/>
        <v>-12226.523599999986</v>
      </c>
      <c r="G354">
        <f t="shared" si="37"/>
        <v>-8.2106249581091958E-2</v>
      </c>
      <c r="H354">
        <f t="shared" si="38"/>
        <v>-3.1633954980595007</v>
      </c>
      <c r="I354">
        <f t="shared" si="39"/>
        <v>41.691467529107371</v>
      </c>
      <c r="J354" t="b">
        <f t="shared" si="40"/>
        <v>0</v>
      </c>
      <c r="K354">
        <f t="shared" si="41"/>
        <v>3865</v>
      </c>
    </row>
    <row r="355" spans="1:11" x14ac:dyDescent="0.3">
      <c r="A355" t="s">
        <v>213</v>
      </c>
      <c r="B355">
        <v>202359.14290000001</v>
      </c>
      <c r="C355">
        <v>221435.76860000001</v>
      </c>
      <c r="D355">
        <v>5288</v>
      </c>
      <c r="E355">
        <f t="shared" si="35"/>
        <v>38.267614012859305</v>
      </c>
      <c r="F355">
        <f t="shared" si="36"/>
        <v>-19076.625700000004</v>
      </c>
      <c r="G355">
        <f t="shared" si="37"/>
        <v>-9.4271133128030274E-2</v>
      </c>
      <c r="H355">
        <f t="shared" si="38"/>
        <v>-3.6075313350983365</v>
      </c>
      <c r="I355">
        <f t="shared" si="39"/>
        <v>41.875145347957641</v>
      </c>
      <c r="J355" t="b">
        <f t="shared" si="40"/>
        <v>0</v>
      </c>
      <c r="K355">
        <f t="shared" si="41"/>
        <v>5288</v>
      </c>
    </row>
    <row r="356" spans="1:11" x14ac:dyDescent="0.3">
      <c r="A356" t="s">
        <v>214</v>
      </c>
      <c r="B356">
        <v>274343.65429999999</v>
      </c>
      <c r="C356">
        <v>299516.83779999998</v>
      </c>
      <c r="D356">
        <v>7141</v>
      </c>
      <c r="E356">
        <f t="shared" si="35"/>
        <v>38.418100308080099</v>
      </c>
      <c r="F356">
        <f t="shared" si="36"/>
        <v>-25173.183499999985</v>
      </c>
      <c r="G356">
        <f t="shared" si="37"/>
        <v>-9.1757848615928367E-2</v>
      </c>
      <c r="H356">
        <f t="shared" si="38"/>
        <v>-3.5251622321803637</v>
      </c>
      <c r="I356">
        <f t="shared" si="39"/>
        <v>41.943262540260463</v>
      </c>
      <c r="J356" t="b">
        <f t="shared" si="40"/>
        <v>0</v>
      </c>
      <c r="K356">
        <f t="shared" si="41"/>
        <v>7141</v>
      </c>
    </row>
    <row r="357" spans="1:11" x14ac:dyDescent="0.3">
      <c r="A357" t="s">
        <v>215</v>
      </c>
      <c r="B357">
        <v>316167.0747</v>
      </c>
      <c r="C357">
        <v>346378.30479999998</v>
      </c>
      <c r="D357">
        <v>8268</v>
      </c>
      <c r="E357">
        <f t="shared" si="35"/>
        <v>38.239849383164007</v>
      </c>
      <c r="F357">
        <f t="shared" si="36"/>
        <v>-30211.230099999986</v>
      </c>
      <c r="G357">
        <f t="shared" si="37"/>
        <v>-9.5554637144510943E-2</v>
      </c>
      <c r="H357">
        <f t="shared" si="38"/>
        <v>-3.6539949322689864</v>
      </c>
      <c r="I357">
        <f t="shared" si="39"/>
        <v>41.893844315432993</v>
      </c>
      <c r="J357" t="b">
        <f t="shared" si="40"/>
        <v>0</v>
      </c>
      <c r="K357">
        <f t="shared" si="41"/>
        <v>8268</v>
      </c>
    </row>
    <row r="358" spans="1:11" x14ac:dyDescent="0.3">
      <c r="A358" t="s">
        <v>216</v>
      </c>
      <c r="B358">
        <v>173833.4001</v>
      </c>
      <c r="C358">
        <v>190644.50159999999</v>
      </c>
      <c r="D358">
        <v>4541</v>
      </c>
      <c r="E358">
        <f t="shared" si="35"/>
        <v>38.280863268002641</v>
      </c>
      <c r="F358">
        <f t="shared" si="36"/>
        <v>-16811.10149999999</v>
      </c>
      <c r="G358">
        <f t="shared" si="37"/>
        <v>-9.6708121053429186E-2</v>
      </c>
      <c r="H358">
        <f t="shared" si="38"/>
        <v>-3.7020703589517723</v>
      </c>
      <c r="I358">
        <f t="shared" si="39"/>
        <v>41.982933626954413</v>
      </c>
      <c r="J358" t="b">
        <f t="shared" si="40"/>
        <v>0</v>
      </c>
      <c r="K358">
        <f t="shared" si="41"/>
        <v>4541</v>
      </c>
    </row>
    <row r="359" spans="1:11" x14ac:dyDescent="0.3">
      <c r="A359" t="s">
        <v>217</v>
      </c>
      <c r="B359">
        <v>204565.08180000001</v>
      </c>
      <c r="C359">
        <v>210188.9094</v>
      </c>
      <c r="D359">
        <v>5014</v>
      </c>
      <c r="E359">
        <f t="shared" si="35"/>
        <v>40.798779776625452</v>
      </c>
      <c r="F359">
        <f t="shared" si="36"/>
        <v>-5623.8275999999896</v>
      </c>
      <c r="G359">
        <f t="shared" si="37"/>
        <v>-2.7491630294452282E-2</v>
      </c>
      <c r="H359">
        <f t="shared" si="38"/>
        <v>-1.121624970083765</v>
      </c>
      <c r="I359">
        <f t="shared" si="39"/>
        <v>41.920404746709217</v>
      </c>
      <c r="J359" t="b">
        <f t="shared" si="40"/>
        <v>0</v>
      </c>
      <c r="K359">
        <f t="shared" si="41"/>
        <v>5014</v>
      </c>
    </row>
    <row r="360" spans="1:11" x14ac:dyDescent="0.3">
      <c r="A360" t="s">
        <v>218</v>
      </c>
      <c r="B360">
        <v>316394.73090000002</v>
      </c>
      <c r="C360">
        <v>326627.1384</v>
      </c>
      <c r="D360">
        <v>7778</v>
      </c>
      <c r="E360">
        <f t="shared" si="35"/>
        <v>40.678160311133972</v>
      </c>
      <c r="F360">
        <f t="shared" si="36"/>
        <v>-10232.407499999972</v>
      </c>
      <c r="G360">
        <f t="shared" si="37"/>
        <v>-3.2340638135449969E-2</v>
      </c>
      <c r="H360">
        <f t="shared" si="38"/>
        <v>-1.3155576626382057</v>
      </c>
      <c r="I360">
        <f t="shared" si="39"/>
        <v>41.993717973772178</v>
      </c>
      <c r="J360" t="b">
        <f t="shared" si="40"/>
        <v>0</v>
      </c>
      <c r="K360">
        <f t="shared" si="41"/>
        <v>7778</v>
      </c>
    </row>
    <row r="361" spans="1:11" x14ac:dyDescent="0.3">
      <c r="A361" t="s">
        <v>219</v>
      </c>
      <c r="B361">
        <v>486230.32020000002</v>
      </c>
      <c r="C361">
        <v>495909.08960000001</v>
      </c>
      <c r="D361">
        <v>11809</v>
      </c>
      <c r="E361">
        <f t="shared" si="35"/>
        <v>41.174555017359644</v>
      </c>
      <c r="F361">
        <f t="shared" si="36"/>
        <v>-9678.7693999999901</v>
      </c>
      <c r="G361">
        <f t="shared" si="37"/>
        <v>-1.9905729852508672E-2</v>
      </c>
      <c r="H361">
        <f t="shared" si="38"/>
        <v>-0.81960956897281534</v>
      </c>
      <c r="I361">
        <f t="shared" si="39"/>
        <v>41.99416458633246</v>
      </c>
      <c r="J361" t="b">
        <f t="shared" si="40"/>
        <v>0</v>
      </c>
      <c r="K361">
        <f t="shared" si="41"/>
        <v>11809</v>
      </c>
    </row>
    <row r="362" spans="1:11" x14ac:dyDescent="0.3">
      <c r="A362" t="s">
        <v>220</v>
      </c>
      <c r="B362">
        <v>137686.53210000001</v>
      </c>
      <c r="C362">
        <v>140525.7867</v>
      </c>
      <c r="D362">
        <v>3344</v>
      </c>
      <c r="E362">
        <f t="shared" si="35"/>
        <v>41.174202183014359</v>
      </c>
      <c r="F362">
        <f t="shared" si="36"/>
        <v>-2839.2545999999857</v>
      </c>
      <c r="G362">
        <f t="shared" si="37"/>
        <v>-2.0621149771844573E-2</v>
      </c>
      <c r="H362">
        <f t="shared" si="38"/>
        <v>-0.84905938995214569</v>
      </c>
      <c r="I362">
        <f t="shared" si="39"/>
        <v>42.023261572966504</v>
      </c>
      <c r="J362" t="b">
        <f t="shared" si="40"/>
        <v>0</v>
      </c>
      <c r="K362">
        <f t="shared" si="41"/>
        <v>3344</v>
      </c>
    </row>
    <row r="363" spans="1:11" x14ac:dyDescent="0.3">
      <c r="A363" t="s">
        <v>221</v>
      </c>
      <c r="B363">
        <v>48102.96241</v>
      </c>
      <c r="C363">
        <v>49028.36507</v>
      </c>
      <c r="D363">
        <v>1169</v>
      </c>
      <c r="E363">
        <f t="shared" si="35"/>
        <v>41.148813011120616</v>
      </c>
      <c r="F363">
        <f t="shared" si="36"/>
        <v>-925.40265999999974</v>
      </c>
      <c r="G363">
        <f t="shared" si="37"/>
        <v>-1.9237955702445887E-2</v>
      </c>
      <c r="H363">
        <f t="shared" si="38"/>
        <v>-0.79161904191617083</v>
      </c>
      <c r="I363">
        <f t="shared" si="39"/>
        <v>41.940432053036787</v>
      </c>
      <c r="J363" t="b">
        <f t="shared" si="40"/>
        <v>0</v>
      </c>
      <c r="K363">
        <f t="shared" si="41"/>
        <v>1169</v>
      </c>
    </row>
    <row r="364" spans="1:11" x14ac:dyDescent="0.3">
      <c r="A364" t="s">
        <v>222</v>
      </c>
      <c r="B364">
        <v>110162.132</v>
      </c>
      <c r="C364">
        <v>112383.5592</v>
      </c>
      <c r="D364">
        <v>2676</v>
      </c>
      <c r="E364">
        <f t="shared" si="35"/>
        <v>41.166715994020926</v>
      </c>
      <c r="F364">
        <f t="shared" si="36"/>
        <v>-2221.4272000000055</v>
      </c>
      <c r="G364">
        <f t="shared" si="37"/>
        <v>-2.0165070879347231E-2</v>
      </c>
      <c r="H364">
        <f t="shared" si="38"/>
        <v>-0.83012974588938704</v>
      </c>
      <c r="I364">
        <f t="shared" si="39"/>
        <v>41.996845739910313</v>
      </c>
      <c r="J364" t="b">
        <f t="shared" si="40"/>
        <v>0</v>
      </c>
      <c r="K364">
        <f t="shared" si="41"/>
        <v>2676</v>
      </c>
    </row>
    <row r="365" spans="1:11" x14ac:dyDescent="0.3">
      <c r="A365" t="s">
        <v>223</v>
      </c>
      <c r="B365">
        <v>69051.337090000001</v>
      </c>
      <c r="C365">
        <v>70482.717799999999</v>
      </c>
      <c r="D365">
        <v>1677</v>
      </c>
      <c r="E365">
        <f t="shared" si="35"/>
        <v>41.175514066785929</v>
      </c>
      <c r="F365">
        <f t="shared" si="36"/>
        <v>-1431.3807099999976</v>
      </c>
      <c r="G365">
        <f t="shared" si="37"/>
        <v>-2.0729225100078328E-2</v>
      </c>
      <c r="H365">
        <f t="shared" si="38"/>
        <v>-0.8535364997018462</v>
      </c>
      <c r="I365">
        <f t="shared" si="39"/>
        <v>42.029050566487776</v>
      </c>
      <c r="J365" t="b">
        <f t="shared" si="40"/>
        <v>0</v>
      </c>
      <c r="K365">
        <f t="shared" si="41"/>
        <v>1677</v>
      </c>
    </row>
    <row r="366" spans="1:11" x14ac:dyDescent="0.3">
      <c r="A366" t="s">
        <v>224</v>
      </c>
      <c r="B366">
        <v>133307.36900000001</v>
      </c>
      <c r="C366">
        <v>136003.48250000001</v>
      </c>
      <c r="D366">
        <v>3237</v>
      </c>
      <c r="E366">
        <f t="shared" si="35"/>
        <v>41.182381526104422</v>
      </c>
      <c r="F366">
        <f t="shared" si="36"/>
        <v>-2696.1135000000068</v>
      </c>
      <c r="G366">
        <f t="shared" si="37"/>
        <v>-2.0224789673855215E-2</v>
      </c>
      <c r="H366">
        <f t="shared" si="38"/>
        <v>-0.83290500463392192</v>
      </c>
      <c r="I366">
        <f t="shared" si="39"/>
        <v>42.015286530738344</v>
      </c>
      <c r="J366" t="b">
        <f t="shared" si="40"/>
        <v>0</v>
      </c>
      <c r="K366">
        <f t="shared" si="41"/>
        <v>3237</v>
      </c>
    </row>
    <row r="367" spans="1:11" x14ac:dyDescent="0.3">
      <c r="A367" t="s">
        <v>225</v>
      </c>
      <c r="B367">
        <v>216389.5043</v>
      </c>
      <c r="C367">
        <v>235723.7648</v>
      </c>
      <c r="D367">
        <v>5607</v>
      </c>
      <c r="E367">
        <f t="shared" si="35"/>
        <v>38.592741983235243</v>
      </c>
      <c r="F367">
        <f t="shared" si="36"/>
        <v>-19334.260500000004</v>
      </c>
      <c r="G367">
        <f t="shared" si="37"/>
        <v>-8.9349345119785484E-2</v>
      </c>
      <c r="H367">
        <f t="shared" si="38"/>
        <v>-3.4482362225789203</v>
      </c>
      <c r="I367">
        <f t="shared" si="39"/>
        <v>42.040978205814163</v>
      </c>
      <c r="J367" t="b">
        <f t="shared" si="40"/>
        <v>0</v>
      </c>
      <c r="K367">
        <f t="shared" si="41"/>
        <v>5607</v>
      </c>
    </row>
    <row r="368" spans="1:11" x14ac:dyDescent="0.3">
      <c r="A368" t="s">
        <v>226</v>
      </c>
      <c r="B368">
        <v>365055.31199999998</v>
      </c>
      <c r="C368">
        <v>398013.34830000001</v>
      </c>
      <c r="D368">
        <v>9464</v>
      </c>
      <c r="E368">
        <f t="shared" si="35"/>
        <v>38.573046491969563</v>
      </c>
      <c r="F368">
        <f t="shared" si="36"/>
        <v>-32958.036300000036</v>
      </c>
      <c r="G368">
        <f t="shared" si="37"/>
        <v>-9.0282308506717576E-2</v>
      </c>
      <c r="H368">
        <f t="shared" si="38"/>
        <v>-3.4824636834319591</v>
      </c>
      <c r="I368">
        <f t="shared" si="39"/>
        <v>42.055510175401523</v>
      </c>
      <c r="J368" t="b">
        <f t="shared" si="40"/>
        <v>0</v>
      </c>
      <c r="K368">
        <f t="shared" si="41"/>
        <v>9464</v>
      </c>
    </row>
    <row r="369" spans="1:11" x14ac:dyDescent="0.3">
      <c r="A369" s="1">
        <v>42005</v>
      </c>
      <c r="B369">
        <v>112161.41959999999</v>
      </c>
      <c r="C369">
        <v>122170.4317</v>
      </c>
      <c r="D369">
        <v>2905</v>
      </c>
      <c r="E369">
        <f t="shared" si="35"/>
        <v>38.609782994836486</v>
      </c>
      <c r="F369">
        <f t="shared" si="36"/>
        <v>-10009.012100000007</v>
      </c>
      <c r="G369">
        <f t="shared" si="37"/>
        <v>-8.9237566140790966E-2</v>
      </c>
      <c r="H369">
        <f t="shared" si="38"/>
        <v>-3.4454430636833067</v>
      </c>
      <c r="I369">
        <f t="shared" si="39"/>
        <v>42.055226058519793</v>
      </c>
      <c r="J369" t="b">
        <f t="shared" si="40"/>
        <v>0</v>
      </c>
      <c r="K369">
        <f t="shared" si="41"/>
        <v>2905</v>
      </c>
    </row>
    <row r="370" spans="1:11" x14ac:dyDescent="0.3">
      <c r="A370" s="1">
        <v>42036</v>
      </c>
      <c r="B370">
        <v>271101.46169999999</v>
      </c>
      <c r="C370">
        <v>295019.4694</v>
      </c>
      <c r="D370">
        <v>7023</v>
      </c>
      <c r="E370">
        <f t="shared" si="35"/>
        <v>38.601945279794954</v>
      </c>
      <c r="F370">
        <f t="shared" si="36"/>
        <v>-23918.007700000016</v>
      </c>
      <c r="G370">
        <f t="shared" si="37"/>
        <v>-8.8225299672001059E-2</v>
      </c>
      <c r="H370">
        <f t="shared" si="38"/>
        <v>-3.4056681902320989</v>
      </c>
      <c r="I370">
        <f t="shared" si="39"/>
        <v>42.007613470027053</v>
      </c>
      <c r="J370" t="b">
        <f t="shared" si="40"/>
        <v>0</v>
      </c>
      <c r="K370">
        <f t="shared" si="41"/>
        <v>7023</v>
      </c>
    </row>
    <row r="371" spans="1:11" x14ac:dyDescent="0.3">
      <c r="A371" s="1">
        <v>42064</v>
      </c>
      <c r="B371">
        <v>245813.28829999999</v>
      </c>
      <c r="C371">
        <v>267734.72529999999</v>
      </c>
      <c r="D371">
        <v>6371</v>
      </c>
      <c r="E371">
        <f t="shared" si="35"/>
        <v>38.583156223512788</v>
      </c>
      <c r="F371">
        <f t="shared" si="36"/>
        <v>-21921.437000000005</v>
      </c>
      <c r="G371">
        <f t="shared" si="37"/>
        <v>-8.9179218713539357E-2</v>
      </c>
      <c r="H371">
        <f t="shared" si="38"/>
        <v>-3.4408157275153073</v>
      </c>
      <c r="I371">
        <f t="shared" si="39"/>
        <v>42.023971951028095</v>
      </c>
      <c r="J371" t="b">
        <f t="shared" si="40"/>
        <v>0</v>
      </c>
      <c r="K371">
        <f t="shared" si="41"/>
        <v>6371</v>
      </c>
    </row>
    <row r="372" spans="1:11" x14ac:dyDescent="0.3">
      <c r="A372" s="1">
        <v>42095</v>
      </c>
      <c r="B372">
        <v>178394.81200000001</v>
      </c>
      <c r="C372">
        <v>194427.448</v>
      </c>
      <c r="D372">
        <v>4624</v>
      </c>
      <c r="E372">
        <f t="shared" si="35"/>
        <v>38.580192906574396</v>
      </c>
      <c r="F372">
        <f t="shared" si="36"/>
        <v>-16032.635999999999</v>
      </c>
      <c r="G372">
        <f t="shared" si="37"/>
        <v>-8.9871649406486093E-2</v>
      </c>
      <c r="H372">
        <f t="shared" si="38"/>
        <v>-3.4672655709342521</v>
      </c>
      <c r="I372">
        <f t="shared" si="39"/>
        <v>42.047458477508648</v>
      </c>
      <c r="J372" t="b">
        <f t="shared" si="40"/>
        <v>0</v>
      </c>
      <c r="K372">
        <f t="shared" si="41"/>
        <v>4624</v>
      </c>
    </row>
    <row r="373" spans="1:11" x14ac:dyDescent="0.3">
      <c r="A373" s="1">
        <v>42125</v>
      </c>
      <c r="B373">
        <v>220443.63149999999</v>
      </c>
      <c r="C373">
        <v>239988.0275</v>
      </c>
      <c r="D373">
        <v>5717</v>
      </c>
      <c r="E373">
        <f t="shared" si="35"/>
        <v>38.559319835578101</v>
      </c>
      <c r="F373">
        <f t="shared" si="36"/>
        <v>-19544.396000000008</v>
      </c>
      <c r="G373">
        <f t="shared" si="37"/>
        <v>-8.8659381389296382E-2</v>
      </c>
      <c r="H373">
        <f t="shared" si="38"/>
        <v>-3.4186454434143769</v>
      </c>
      <c r="I373">
        <f t="shared" si="39"/>
        <v>41.977965278992478</v>
      </c>
      <c r="J373" t="b">
        <f t="shared" si="40"/>
        <v>0</v>
      </c>
      <c r="K373">
        <f t="shared" si="41"/>
        <v>5717</v>
      </c>
    </row>
    <row r="374" spans="1:11" x14ac:dyDescent="0.3">
      <c r="A374" s="1">
        <v>42156</v>
      </c>
      <c r="B374">
        <v>181534.1887</v>
      </c>
      <c r="C374">
        <v>197328.94390000001</v>
      </c>
      <c r="D374">
        <v>4705</v>
      </c>
      <c r="E374">
        <f t="shared" si="35"/>
        <v>38.583249458023381</v>
      </c>
      <c r="F374">
        <f t="shared" si="36"/>
        <v>-15794.755200000014</v>
      </c>
      <c r="G374">
        <f t="shared" si="37"/>
        <v>-8.7007055327204125E-2</v>
      </c>
      <c r="H374">
        <f t="shared" si="38"/>
        <v>-3.3570149202975585</v>
      </c>
      <c r="I374">
        <f t="shared" si="39"/>
        <v>41.94026437832094</v>
      </c>
      <c r="J374" t="b">
        <f t="shared" si="40"/>
        <v>0</v>
      </c>
      <c r="K374">
        <f t="shared" si="41"/>
        <v>4705</v>
      </c>
    </row>
    <row r="375" spans="1:11" x14ac:dyDescent="0.3">
      <c r="A375" s="1">
        <v>42186</v>
      </c>
      <c r="B375">
        <v>83176.481390000001</v>
      </c>
      <c r="C375">
        <v>84728.831200000001</v>
      </c>
      <c r="D375">
        <v>2020</v>
      </c>
      <c r="E375">
        <f t="shared" si="35"/>
        <v>41.176475935643566</v>
      </c>
      <c r="F375">
        <f t="shared" si="36"/>
        <v>-1552.3498099999997</v>
      </c>
      <c r="G375">
        <f t="shared" si="37"/>
        <v>-1.8663326267930262E-2</v>
      </c>
      <c r="H375">
        <f t="shared" si="38"/>
        <v>-0.76849000495049324</v>
      </c>
      <c r="I375">
        <f t="shared" si="39"/>
        <v>41.944965940594059</v>
      </c>
      <c r="J375" t="b">
        <f t="shared" si="40"/>
        <v>0</v>
      </c>
      <c r="K375">
        <f t="shared" si="41"/>
        <v>2020</v>
      </c>
    </row>
    <row r="376" spans="1:11" x14ac:dyDescent="0.3">
      <c r="A376" s="1">
        <v>42217</v>
      </c>
      <c r="B376">
        <v>76894.779349999997</v>
      </c>
      <c r="C376">
        <v>78468.095499999996</v>
      </c>
      <c r="D376">
        <v>1868</v>
      </c>
      <c r="E376">
        <f t="shared" si="35"/>
        <v>41.164228774089935</v>
      </c>
      <c r="F376">
        <f t="shared" si="36"/>
        <v>-1573.3161499999987</v>
      </c>
      <c r="G376">
        <f t="shared" si="37"/>
        <v>-2.0460636772735585E-2</v>
      </c>
      <c r="H376">
        <f t="shared" si="38"/>
        <v>-0.84224633297644402</v>
      </c>
      <c r="I376">
        <f t="shared" si="39"/>
        <v>42.006475107066379</v>
      </c>
      <c r="J376" t="b">
        <f t="shared" si="40"/>
        <v>0</v>
      </c>
      <c r="K376">
        <f t="shared" si="41"/>
        <v>1868</v>
      </c>
    </row>
    <row r="377" spans="1:11" x14ac:dyDescent="0.3">
      <c r="A377" s="1">
        <v>42248</v>
      </c>
      <c r="B377">
        <v>123859.38800000001</v>
      </c>
      <c r="C377">
        <v>126444.1425</v>
      </c>
      <c r="D377">
        <v>3008</v>
      </c>
      <c r="E377">
        <f t="shared" si="35"/>
        <v>41.176658244680851</v>
      </c>
      <c r="F377">
        <f t="shared" si="36"/>
        <v>-2584.7544999999955</v>
      </c>
      <c r="G377">
        <f t="shared" si="37"/>
        <v>-2.0868458513617034E-2</v>
      </c>
      <c r="H377">
        <f t="shared" si="38"/>
        <v>-0.85929338430850777</v>
      </c>
      <c r="I377">
        <f t="shared" si="39"/>
        <v>42.035951628989359</v>
      </c>
      <c r="J377" t="b">
        <f t="shared" si="40"/>
        <v>0</v>
      </c>
      <c r="K377">
        <f t="shared" si="41"/>
        <v>3008</v>
      </c>
    </row>
    <row r="378" spans="1:11" x14ac:dyDescent="0.3">
      <c r="A378" s="1">
        <v>42278</v>
      </c>
      <c r="B378">
        <v>120807.5742</v>
      </c>
      <c r="C378">
        <v>123392.80409999999</v>
      </c>
      <c r="D378">
        <v>2934</v>
      </c>
      <c r="E378">
        <f t="shared" si="35"/>
        <v>41.175042331288346</v>
      </c>
      <c r="F378">
        <f t="shared" si="36"/>
        <v>-2585.2298999999912</v>
      </c>
      <c r="G378">
        <f t="shared" si="37"/>
        <v>-2.1399568008211783E-2</v>
      </c>
      <c r="H378">
        <f t="shared" si="38"/>
        <v>-0.88112811860940354</v>
      </c>
      <c r="I378">
        <f t="shared" si="39"/>
        <v>42.056170449897749</v>
      </c>
      <c r="J378" t="b">
        <f t="shared" si="40"/>
        <v>0</v>
      </c>
      <c r="K378">
        <f t="shared" si="41"/>
        <v>2934</v>
      </c>
    </row>
    <row r="379" spans="1:11" x14ac:dyDescent="0.3">
      <c r="A379" s="1">
        <v>42309</v>
      </c>
      <c r="B379">
        <v>69597.36735</v>
      </c>
      <c r="C379">
        <v>71051.363500000007</v>
      </c>
      <c r="D379">
        <v>1690</v>
      </c>
      <c r="E379">
        <f t="shared" si="35"/>
        <v>41.181874171597634</v>
      </c>
      <c r="F379">
        <f t="shared" si="36"/>
        <v>-1453.9961500000063</v>
      </c>
      <c r="G379">
        <f t="shared" si="37"/>
        <v>-2.0891539513096344E-2</v>
      </c>
      <c r="H379">
        <f t="shared" si="38"/>
        <v>-0.86035275147929013</v>
      </c>
      <c r="I379">
        <f t="shared" si="39"/>
        <v>42.042226923076925</v>
      </c>
      <c r="J379" t="b">
        <f t="shared" si="40"/>
        <v>0</v>
      </c>
      <c r="K379">
        <f t="shared" si="41"/>
        <v>1690</v>
      </c>
    </row>
    <row r="380" spans="1:11" x14ac:dyDescent="0.3">
      <c r="A380" s="1">
        <v>42339</v>
      </c>
      <c r="B380">
        <v>84738.294410000002</v>
      </c>
      <c r="C380">
        <v>86467.537750000003</v>
      </c>
      <c r="D380">
        <v>2058</v>
      </c>
      <c r="E380">
        <f t="shared" si="35"/>
        <v>41.175070170068025</v>
      </c>
      <c r="F380">
        <f t="shared" si="36"/>
        <v>-1729.2433400000009</v>
      </c>
      <c r="G380">
        <f t="shared" si="37"/>
        <v>-2.0406869787031399E-2</v>
      </c>
      <c r="H380">
        <f t="shared" si="38"/>
        <v>-0.84025429543245878</v>
      </c>
      <c r="I380">
        <f t="shared" si="39"/>
        <v>42.015324465500484</v>
      </c>
      <c r="J380" t="b">
        <f t="shared" si="40"/>
        <v>0</v>
      </c>
      <c r="K380">
        <f t="shared" si="41"/>
        <v>2058</v>
      </c>
    </row>
    <row r="381" spans="1:11" x14ac:dyDescent="0.3">
      <c r="A381" t="s">
        <v>227</v>
      </c>
      <c r="B381">
        <v>64653.972139999998</v>
      </c>
      <c r="C381">
        <v>65980.422089999993</v>
      </c>
      <c r="D381">
        <v>1570</v>
      </c>
      <c r="E381">
        <f t="shared" si="35"/>
        <v>41.180873974522292</v>
      </c>
      <c r="F381">
        <f t="shared" si="36"/>
        <v>-1326.4499499999947</v>
      </c>
      <c r="G381">
        <f t="shared" si="37"/>
        <v>-2.0516140093105727E-2</v>
      </c>
      <c r="H381">
        <f t="shared" si="38"/>
        <v>-0.84487257961782802</v>
      </c>
      <c r="I381">
        <f t="shared" si="39"/>
        <v>42.02574655414012</v>
      </c>
      <c r="J381" t="b">
        <f t="shared" si="40"/>
        <v>0</v>
      </c>
      <c r="K381">
        <f t="shared" si="41"/>
        <v>1570</v>
      </c>
    </row>
    <row r="382" spans="1:11" x14ac:dyDescent="0.3">
      <c r="A382" t="s">
        <v>228</v>
      </c>
      <c r="B382">
        <v>59553.386030000001</v>
      </c>
      <c r="C382">
        <v>60703.356030000003</v>
      </c>
      <c r="D382">
        <v>1446</v>
      </c>
      <c r="E382">
        <f t="shared" si="35"/>
        <v>41.184914266943295</v>
      </c>
      <c r="F382">
        <f t="shared" si="36"/>
        <v>-1149.9700000000012</v>
      </c>
      <c r="G382">
        <f t="shared" si="37"/>
        <v>-1.930990119387509E-2</v>
      </c>
      <c r="H382">
        <f t="shared" si="38"/>
        <v>-0.79527662517288888</v>
      </c>
      <c r="I382">
        <f t="shared" si="39"/>
        <v>41.980190892116184</v>
      </c>
      <c r="J382" t="b">
        <f t="shared" si="40"/>
        <v>0</v>
      </c>
      <c r="K382">
        <f t="shared" si="41"/>
        <v>1446</v>
      </c>
    </row>
    <row r="383" spans="1:11" x14ac:dyDescent="0.3">
      <c r="A383" t="s">
        <v>229</v>
      </c>
      <c r="B383">
        <v>79080.756959999999</v>
      </c>
      <c r="C383">
        <v>80337.748309999995</v>
      </c>
      <c r="D383">
        <v>1921</v>
      </c>
      <c r="E383">
        <f t="shared" si="35"/>
        <v>41.166453388859971</v>
      </c>
      <c r="F383">
        <f t="shared" si="36"/>
        <v>-1256.9913499999966</v>
      </c>
      <c r="G383">
        <f t="shared" si="37"/>
        <v>-1.5895034371456486E-2</v>
      </c>
      <c r="H383">
        <f t="shared" si="38"/>
        <v>-0.65434219156689011</v>
      </c>
      <c r="I383">
        <f t="shared" si="39"/>
        <v>41.820795580426861</v>
      </c>
      <c r="J383" t="b">
        <f t="shared" si="40"/>
        <v>0</v>
      </c>
      <c r="K383">
        <f t="shared" si="41"/>
        <v>1921</v>
      </c>
    </row>
    <row r="384" spans="1:11" x14ac:dyDescent="0.3">
      <c r="A384" t="s">
        <v>230</v>
      </c>
      <c r="B384">
        <v>149444.05679999999</v>
      </c>
      <c r="C384">
        <v>152030.9865</v>
      </c>
      <c r="D384">
        <v>3629</v>
      </c>
      <c r="E384">
        <f t="shared" si="35"/>
        <v>41.180506144943507</v>
      </c>
      <c r="F384">
        <f t="shared" si="36"/>
        <v>-2586.9297000000079</v>
      </c>
      <c r="G384">
        <f t="shared" si="37"/>
        <v>-1.7310355161611272E-2</v>
      </c>
      <c r="H384">
        <f t="shared" si="38"/>
        <v>-0.71284918710389178</v>
      </c>
      <c r="I384">
        <f t="shared" si="39"/>
        <v>41.893355332047399</v>
      </c>
      <c r="J384" t="b">
        <f t="shared" si="40"/>
        <v>0</v>
      </c>
      <c r="K384">
        <f t="shared" si="41"/>
        <v>3629</v>
      </c>
    </row>
    <row r="385" spans="1:11" x14ac:dyDescent="0.3">
      <c r="A385" t="s">
        <v>231</v>
      </c>
      <c r="B385">
        <v>170624.07990000001</v>
      </c>
      <c r="C385">
        <v>173547.02710000001</v>
      </c>
      <c r="D385">
        <v>4144</v>
      </c>
      <c r="E385">
        <f t="shared" si="35"/>
        <v>41.173764454633208</v>
      </c>
      <c r="F385">
        <f t="shared" si="36"/>
        <v>-2922.9471999999951</v>
      </c>
      <c r="G385">
        <f t="shared" si="37"/>
        <v>-1.7130918459534475E-2</v>
      </c>
      <c r="H385">
        <f t="shared" si="38"/>
        <v>-0.70534440154440148</v>
      </c>
      <c r="I385">
        <f t="shared" si="39"/>
        <v>41.879108856177609</v>
      </c>
      <c r="J385" t="b">
        <f t="shared" si="40"/>
        <v>0</v>
      </c>
      <c r="K385">
        <f t="shared" si="41"/>
        <v>4144</v>
      </c>
    </row>
    <row r="386" spans="1:11" x14ac:dyDescent="0.3">
      <c r="A386" t="s">
        <v>232</v>
      </c>
      <c r="B386">
        <v>74744.283150000003</v>
      </c>
      <c r="C386">
        <v>76003.928249999997</v>
      </c>
      <c r="D386">
        <v>1815</v>
      </c>
      <c r="E386">
        <f t="shared" si="35"/>
        <v>41.181423223140499</v>
      </c>
      <c r="F386">
        <f t="shared" si="36"/>
        <v>-1259.6450999999943</v>
      </c>
      <c r="G386">
        <f t="shared" si="37"/>
        <v>-1.6852728354783804E-2</v>
      </c>
      <c r="H386">
        <f t="shared" si="38"/>
        <v>-0.69401933884297051</v>
      </c>
      <c r="I386">
        <f t="shared" si="39"/>
        <v>41.875442561983469</v>
      </c>
      <c r="J386" t="b">
        <f t="shared" si="40"/>
        <v>0</v>
      </c>
      <c r="K386">
        <f t="shared" si="41"/>
        <v>1815</v>
      </c>
    </row>
    <row r="387" spans="1:11" x14ac:dyDescent="0.3">
      <c r="A387" t="s">
        <v>233</v>
      </c>
      <c r="B387">
        <v>90144.161399999997</v>
      </c>
      <c r="C387">
        <v>91110.969349999999</v>
      </c>
      <c r="D387">
        <v>2189</v>
      </c>
      <c r="E387">
        <f t="shared" ref="E387:E450" si="42">B387/D387</f>
        <v>41.180521425308356</v>
      </c>
      <c r="F387">
        <f t="shared" ref="F387:F450" si="43">B387-C387</f>
        <v>-966.80795000000217</v>
      </c>
      <c r="G387">
        <f t="shared" ref="G387:H450" si="44">F387/B387</f>
        <v>-1.0725131112041186E-2</v>
      </c>
      <c r="H387">
        <f t="shared" ref="H387:H450" si="45">E387-I387</f>
        <v>-0.44166649154865922</v>
      </c>
      <c r="I387">
        <f t="shared" ref="I387:I450" si="46">C387/D387</f>
        <v>41.622187916857015</v>
      </c>
      <c r="J387" t="b">
        <f t="shared" ref="J387:J450" si="47">H387&gt;0</f>
        <v>0</v>
      </c>
      <c r="K387">
        <f t="shared" ref="K387:K450" si="48">D387</f>
        <v>2189</v>
      </c>
    </row>
    <row r="388" spans="1:11" x14ac:dyDescent="0.3">
      <c r="A388" t="s">
        <v>234</v>
      </c>
      <c r="B388">
        <v>97826.808799999999</v>
      </c>
      <c r="C388">
        <v>99134.306989999997</v>
      </c>
      <c r="D388">
        <v>2376</v>
      </c>
      <c r="E388">
        <f t="shared" si="42"/>
        <v>41.172899326599328</v>
      </c>
      <c r="F388">
        <f t="shared" si="43"/>
        <v>-1307.4981899999984</v>
      </c>
      <c r="G388">
        <f t="shared" si="44"/>
        <v>-1.3365438431842198E-2</v>
      </c>
      <c r="H388">
        <f t="shared" si="45"/>
        <v>-0.55029385101009609</v>
      </c>
      <c r="I388">
        <f t="shared" si="46"/>
        <v>41.723193177609424</v>
      </c>
      <c r="J388" t="b">
        <f t="shared" si="47"/>
        <v>0</v>
      </c>
      <c r="K388">
        <f t="shared" si="48"/>
        <v>2376</v>
      </c>
    </row>
    <row r="389" spans="1:11" x14ac:dyDescent="0.3">
      <c r="A389" t="s">
        <v>235</v>
      </c>
      <c r="B389">
        <v>62795.979149999999</v>
      </c>
      <c r="C389">
        <v>64144.088880000003</v>
      </c>
      <c r="D389">
        <v>1525</v>
      </c>
      <c r="E389">
        <f t="shared" si="42"/>
        <v>41.177691245901642</v>
      </c>
      <c r="F389">
        <f t="shared" si="43"/>
        <v>-1348.1097300000038</v>
      </c>
      <c r="G389">
        <f t="shared" si="44"/>
        <v>-2.1468089967667997E-2</v>
      </c>
      <c r="H389">
        <f t="shared" si="45"/>
        <v>-0.88400638032786816</v>
      </c>
      <c r="I389">
        <f t="shared" si="46"/>
        <v>42.06169762622951</v>
      </c>
      <c r="J389" t="b">
        <f t="shared" si="47"/>
        <v>0</v>
      </c>
      <c r="K389">
        <f t="shared" si="48"/>
        <v>1525</v>
      </c>
    </row>
    <row r="390" spans="1:11" x14ac:dyDescent="0.3">
      <c r="A390" t="s">
        <v>236</v>
      </c>
      <c r="B390">
        <v>66550.989830000006</v>
      </c>
      <c r="C390">
        <v>67952.150550000006</v>
      </c>
      <c r="D390">
        <v>1616</v>
      </c>
      <c r="E390">
        <f t="shared" si="42"/>
        <v>41.182543211633664</v>
      </c>
      <c r="F390">
        <f t="shared" si="43"/>
        <v>-1401.1607199999999</v>
      </c>
      <c r="G390">
        <f t="shared" si="44"/>
        <v>-2.1053942602193745E-2</v>
      </c>
      <c r="H390">
        <f t="shared" si="45"/>
        <v>-0.86705490099010518</v>
      </c>
      <c r="I390">
        <f t="shared" si="46"/>
        <v>42.049598112623769</v>
      </c>
      <c r="J390" t="b">
        <f t="shared" si="47"/>
        <v>0</v>
      </c>
      <c r="K390">
        <f t="shared" si="48"/>
        <v>1616</v>
      </c>
    </row>
    <row r="391" spans="1:11" x14ac:dyDescent="0.3">
      <c r="A391" t="s">
        <v>237</v>
      </c>
      <c r="B391">
        <v>154670.89069999999</v>
      </c>
      <c r="C391">
        <v>158031.791</v>
      </c>
      <c r="D391">
        <v>3757</v>
      </c>
      <c r="E391">
        <f t="shared" si="42"/>
        <v>41.168722571200426</v>
      </c>
      <c r="F391">
        <f t="shared" si="43"/>
        <v>-3360.9003000000084</v>
      </c>
      <c r="G391">
        <f t="shared" si="44"/>
        <v>-2.1729365395062077E-2</v>
      </c>
      <c r="H391">
        <f t="shared" si="45"/>
        <v>-0.89457021559754679</v>
      </c>
      <c r="I391">
        <f t="shared" si="46"/>
        <v>42.063292786797973</v>
      </c>
      <c r="J391" t="b">
        <f t="shared" si="47"/>
        <v>0</v>
      </c>
      <c r="K391">
        <f t="shared" si="48"/>
        <v>3757</v>
      </c>
    </row>
    <row r="392" spans="1:11" x14ac:dyDescent="0.3">
      <c r="A392" t="s">
        <v>238</v>
      </c>
      <c r="B392">
        <v>158722.10560000001</v>
      </c>
      <c r="C392">
        <v>162082.4184</v>
      </c>
      <c r="D392">
        <v>3855</v>
      </c>
      <c r="E392">
        <f t="shared" si="42"/>
        <v>41.173049442282753</v>
      </c>
      <c r="F392">
        <f t="shared" si="43"/>
        <v>-3360.3127999999851</v>
      </c>
      <c r="G392">
        <f t="shared" si="44"/>
        <v>-2.1171044747027253E-2</v>
      </c>
      <c r="H392">
        <f t="shared" si="45"/>
        <v>-0.87167647211413168</v>
      </c>
      <c r="I392">
        <f t="shared" si="46"/>
        <v>42.044725914396885</v>
      </c>
      <c r="J392" t="b">
        <f t="shared" si="47"/>
        <v>0</v>
      </c>
      <c r="K392">
        <f t="shared" si="48"/>
        <v>3855</v>
      </c>
    </row>
    <row r="393" spans="1:11" x14ac:dyDescent="0.3">
      <c r="A393" t="s">
        <v>239</v>
      </c>
      <c r="B393">
        <v>78092.276920000004</v>
      </c>
      <c r="C393">
        <v>79795.043099999995</v>
      </c>
      <c r="D393">
        <v>1897</v>
      </c>
      <c r="E393">
        <f t="shared" si="42"/>
        <v>41.166197638376389</v>
      </c>
      <c r="F393">
        <f t="shared" si="43"/>
        <v>-1702.7661799999914</v>
      </c>
      <c r="G393">
        <f t="shared" si="44"/>
        <v>-2.1804540053869278E-2</v>
      </c>
      <c r="H393">
        <f t="shared" si="45"/>
        <v>-0.89761000527147417</v>
      </c>
      <c r="I393">
        <f t="shared" si="46"/>
        <v>42.063807643647863</v>
      </c>
      <c r="J393" t="b">
        <f t="shared" si="47"/>
        <v>0</v>
      </c>
      <c r="K393">
        <f t="shared" si="48"/>
        <v>1897</v>
      </c>
    </row>
    <row r="394" spans="1:11" x14ac:dyDescent="0.3">
      <c r="A394" t="s">
        <v>240</v>
      </c>
      <c r="B394">
        <v>91830.402040000001</v>
      </c>
      <c r="C394">
        <v>93808.086750000002</v>
      </c>
      <c r="D394">
        <v>2230</v>
      </c>
      <c r="E394">
        <f t="shared" si="42"/>
        <v>41.179552484304935</v>
      </c>
      <c r="F394">
        <f t="shared" si="43"/>
        <v>-1977.6847100000014</v>
      </c>
      <c r="G394">
        <f t="shared" si="44"/>
        <v>-2.1536274110381771E-2</v>
      </c>
      <c r="H394">
        <f t="shared" si="45"/>
        <v>-0.88685413004483848</v>
      </c>
      <c r="I394">
        <f t="shared" si="46"/>
        <v>42.066406614349773</v>
      </c>
      <c r="J394" t="b">
        <f t="shared" si="47"/>
        <v>0</v>
      </c>
      <c r="K394">
        <f t="shared" si="48"/>
        <v>2230</v>
      </c>
    </row>
    <row r="395" spans="1:11" x14ac:dyDescent="0.3">
      <c r="A395" t="s">
        <v>241</v>
      </c>
      <c r="B395">
        <v>76992.935679999995</v>
      </c>
      <c r="C395">
        <v>78614.457750000001</v>
      </c>
      <c r="D395">
        <v>1870</v>
      </c>
      <c r="E395">
        <f t="shared" si="42"/>
        <v>41.172692877005346</v>
      </c>
      <c r="F395">
        <f t="shared" si="43"/>
        <v>-1621.5220700000064</v>
      </c>
      <c r="G395">
        <f t="shared" si="44"/>
        <v>-2.1060660379796634E-2</v>
      </c>
      <c r="H395">
        <f t="shared" si="45"/>
        <v>-0.86712410160428277</v>
      </c>
      <c r="I395">
        <f t="shared" si="46"/>
        <v>42.039816978609629</v>
      </c>
      <c r="J395" t="b">
        <f t="shared" si="47"/>
        <v>0</v>
      </c>
      <c r="K395">
        <f t="shared" si="48"/>
        <v>1870</v>
      </c>
    </row>
    <row r="396" spans="1:11" x14ac:dyDescent="0.3">
      <c r="A396" t="s">
        <v>242</v>
      </c>
      <c r="B396">
        <v>59897.715880000003</v>
      </c>
      <c r="C396">
        <v>61194.180260000001</v>
      </c>
      <c r="D396">
        <v>1455</v>
      </c>
      <c r="E396">
        <f t="shared" si="42"/>
        <v>41.166815037800689</v>
      </c>
      <c r="F396">
        <f t="shared" si="43"/>
        <v>-1296.4643799999976</v>
      </c>
      <c r="G396">
        <f t="shared" si="44"/>
        <v>-2.1644638045920719E-2</v>
      </c>
      <c r="H396">
        <f t="shared" si="45"/>
        <v>-0.8910408109965644</v>
      </c>
      <c r="I396">
        <f t="shared" si="46"/>
        <v>42.057855848797253</v>
      </c>
      <c r="J396" t="b">
        <f t="shared" si="47"/>
        <v>0</v>
      </c>
      <c r="K396">
        <f t="shared" si="48"/>
        <v>1455</v>
      </c>
    </row>
    <row r="397" spans="1:11" x14ac:dyDescent="0.3">
      <c r="A397" t="s">
        <v>243</v>
      </c>
      <c r="B397">
        <v>57310.194040000002</v>
      </c>
      <c r="C397">
        <v>58531.410989999997</v>
      </c>
      <c r="D397">
        <v>1392</v>
      </c>
      <c r="E397">
        <f t="shared" si="42"/>
        <v>41.171116408045975</v>
      </c>
      <c r="F397">
        <f t="shared" si="43"/>
        <v>-1221.2169499999945</v>
      </c>
      <c r="G397">
        <f t="shared" si="44"/>
        <v>-2.1308895746324618E-2</v>
      </c>
      <c r="H397">
        <f t="shared" si="45"/>
        <v>-0.8773110272988518</v>
      </c>
      <c r="I397">
        <f t="shared" si="46"/>
        <v>42.048427435344827</v>
      </c>
      <c r="J397" t="b">
        <f t="shared" si="47"/>
        <v>0</v>
      </c>
      <c r="K397">
        <f t="shared" si="48"/>
        <v>1392</v>
      </c>
    </row>
    <row r="398" spans="1:11" x14ac:dyDescent="0.3">
      <c r="A398" t="s">
        <v>244</v>
      </c>
      <c r="B398">
        <v>134540.2145</v>
      </c>
      <c r="C398">
        <v>137221.53750000001</v>
      </c>
      <c r="D398">
        <v>3268</v>
      </c>
      <c r="E398">
        <f t="shared" si="42"/>
        <v>41.168976285189721</v>
      </c>
      <c r="F398">
        <f t="shared" si="43"/>
        <v>-2681.323000000004</v>
      </c>
      <c r="G398">
        <f t="shared" si="44"/>
        <v>-1.9929528208088326E-2</v>
      </c>
      <c r="H398">
        <f t="shared" si="45"/>
        <v>-0.82047827417380859</v>
      </c>
      <c r="I398">
        <f t="shared" si="46"/>
        <v>41.98945455936353</v>
      </c>
      <c r="J398" t="b">
        <f t="shared" si="47"/>
        <v>0</v>
      </c>
      <c r="K398">
        <f t="shared" si="48"/>
        <v>3268</v>
      </c>
    </row>
    <row r="399" spans="1:11" x14ac:dyDescent="0.3">
      <c r="A399" t="s">
        <v>245</v>
      </c>
      <c r="B399">
        <v>200193.61199999999</v>
      </c>
      <c r="C399">
        <v>203814.73639999999</v>
      </c>
      <c r="D399">
        <v>4862</v>
      </c>
      <c r="E399">
        <f t="shared" si="42"/>
        <v>41.175156725627311</v>
      </c>
      <c r="F399">
        <f t="shared" si="43"/>
        <v>-3621.1244000000006</v>
      </c>
      <c r="G399">
        <f t="shared" si="44"/>
        <v>-1.8088111622662568E-2</v>
      </c>
      <c r="H399">
        <f t="shared" si="45"/>
        <v>-0.74478083093377734</v>
      </c>
      <c r="I399">
        <f t="shared" si="46"/>
        <v>41.919937556561088</v>
      </c>
      <c r="J399" t="b">
        <f t="shared" si="47"/>
        <v>0</v>
      </c>
      <c r="K399">
        <f t="shared" si="48"/>
        <v>4862</v>
      </c>
    </row>
    <row r="400" spans="1:11" x14ac:dyDescent="0.3">
      <c r="A400" s="1">
        <v>42006</v>
      </c>
      <c r="B400">
        <v>171469.93049999999</v>
      </c>
      <c r="C400">
        <v>174652.45800000001</v>
      </c>
      <c r="D400">
        <v>4165</v>
      </c>
      <c r="E400">
        <f t="shared" si="42"/>
        <v>41.169251020408161</v>
      </c>
      <c r="F400">
        <f t="shared" si="43"/>
        <v>-3182.5275000000256</v>
      </c>
      <c r="G400">
        <f t="shared" si="44"/>
        <v>-1.8560265877054321E-2</v>
      </c>
      <c r="H400">
        <f t="shared" si="45"/>
        <v>-0.76411224489796581</v>
      </c>
      <c r="I400">
        <f t="shared" si="46"/>
        <v>41.933363265306127</v>
      </c>
      <c r="J400" t="b">
        <f t="shared" si="47"/>
        <v>0</v>
      </c>
      <c r="K400">
        <f t="shared" si="48"/>
        <v>4165</v>
      </c>
    </row>
    <row r="401" spans="1:11" x14ac:dyDescent="0.3">
      <c r="A401" s="1">
        <v>42037</v>
      </c>
      <c r="B401">
        <v>151737.2188</v>
      </c>
      <c r="C401">
        <v>154148.59880000001</v>
      </c>
      <c r="D401">
        <v>3685</v>
      </c>
      <c r="E401">
        <f t="shared" si="42"/>
        <v>41.176992890094979</v>
      </c>
      <c r="F401">
        <f t="shared" si="43"/>
        <v>-2411.3800000000047</v>
      </c>
      <c r="G401">
        <f t="shared" si="44"/>
        <v>-1.5891816253587512E-2</v>
      </c>
      <c r="H401">
        <f t="shared" si="45"/>
        <v>-0.65437720488466766</v>
      </c>
      <c r="I401">
        <f t="shared" si="46"/>
        <v>41.831370094979647</v>
      </c>
      <c r="J401" t="b">
        <f t="shared" si="47"/>
        <v>0</v>
      </c>
      <c r="K401">
        <f t="shared" si="48"/>
        <v>3685</v>
      </c>
    </row>
    <row r="402" spans="1:11" x14ac:dyDescent="0.3">
      <c r="A402" s="1">
        <v>42065</v>
      </c>
      <c r="B402">
        <v>102072.4434</v>
      </c>
      <c r="C402">
        <v>103634.9642</v>
      </c>
      <c r="D402">
        <v>2479</v>
      </c>
      <c r="E402">
        <f t="shared" si="42"/>
        <v>41.174846066962488</v>
      </c>
      <c r="F402">
        <f t="shared" si="43"/>
        <v>-1562.5207999999984</v>
      </c>
      <c r="G402">
        <f t="shared" si="44"/>
        <v>-1.5307959209684191E-2</v>
      </c>
      <c r="H402">
        <f t="shared" si="45"/>
        <v>-0.63030286405808766</v>
      </c>
      <c r="I402">
        <f t="shared" si="46"/>
        <v>41.805148931020575</v>
      </c>
      <c r="J402" t="b">
        <f t="shared" si="47"/>
        <v>0</v>
      </c>
      <c r="K402">
        <f t="shared" si="48"/>
        <v>2479</v>
      </c>
    </row>
    <row r="403" spans="1:11" x14ac:dyDescent="0.3">
      <c r="A403" s="1">
        <v>42096</v>
      </c>
      <c r="B403">
        <v>82514.105119999993</v>
      </c>
      <c r="C403">
        <v>83232.391369999998</v>
      </c>
      <c r="D403">
        <v>2005</v>
      </c>
      <c r="E403">
        <f t="shared" si="42"/>
        <v>41.154167142144637</v>
      </c>
      <c r="F403">
        <f t="shared" si="43"/>
        <v>-718.28625000000466</v>
      </c>
      <c r="G403">
        <f t="shared" si="44"/>
        <v>-8.7050116941267599E-3</v>
      </c>
      <c r="H403">
        <f t="shared" si="45"/>
        <v>-0.35824750623441304</v>
      </c>
      <c r="I403">
        <f t="shared" si="46"/>
        <v>41.51241464837905</v>
      </c>
      <c r="J403" t="b">
        <f t="shared" si="47"/>
        <v>0</v>
      </c>
      <c r="K403">
        <f t="shared" si="48"/>
        <v>2005</v>
      </c>
    </row>
    <row r="404" spans="1:11" x14ac:dyDescent="0.3">
      <c r="A404" s="1">
        <v>42126</v>
      </c>
      <c r="B404">
        <v>46211.332459999998</v>
      </c>
      <c r="C404">
        <v>46407.299120000003</v>
      </c>
      <c r="D404">
        <v>1122</v>
      </c>
      <c r="E404">
        <f t="shared" si="42"/>
        <v>41.186570819964345</v>
      </c>
      <c r="F404">
        <f t="shared" si="43"/>
        <v>-195.9666600000055</v>
      </c>
      <c r="G404">
        <f t="shared" si="44"/>
        <v>-4.2406623996317791E-3</v>
      </c>
      <c r="H404">
        <f t="shared" si="45"/>
        <v>-0.17465834224599774</v>
      </c>
      <c r="I404">
        <f t="shared" si="46"/>
        <v>41.361229162210343</v>
      </c>
      <c r="J404" t="b">
        <f t="shared" si="47"/>
        <v>0</v>
      </c>
      <c r="K404">
        <f t="shared" si="48"/>
        <v>1122</v>
      </c>
    </row>
    <row r="405" spans="1:11" x14ac:dyDescent="0.3">
      <c r="A405" s="1">
        <v>42157</v>
      </c>
      <c r="B405">
        <v>85730.414810000002</v>
      </c>
      <c r="C405">
        <v>85765.709340000001</v>
      </c>
      <c r="D405">
        <v>2082</v>
      </c>
      <c r="E405">
        <f t="shared" si="42"/>
        <v>41.176952358309322</v>
      </c>
      <c r="F405">
        <f t="shared" si="43"/>
        <v>-35.294529999999213</v>
      </c>
      <c r="G405">
        <f t="shared" si="44"/>
        <v>-4.116920474282167E-4</v>
      </c>
      <c r="H405">
        <f t="shared" si="45"/>
        <v>-1.6952223823246015E-2</v>
      </c>
      <c r="I405">
        <f t="shared" si="46"/>
        <v>41.193904582132568</v>
      </c>
      <c r="J405" t="b">
        <f t="shared" si="47"/>
        <v>0</v>
      </c>
      <c r="K405">
        <f t="shared" si="48"/>
        <v>2082</v>
      </c>
    </row>
    <row r="406" spans="1:11" x14ac:dyDescent="0.3">
      <c r="A406" s="1">
        <v>42187</v>
      </c>
      <c r="B406">
        <v>105918.2933</v>
      </c>
      <c r="C406">
        <v>105662.55620000001</v>
      </c>
      <c r="D406">
        <v>2573</v>
      </c>
      <c r="E406">
        <f t="shared" si="42"/>
        <v>41.165290827827441</v>
      </c>
      <c r="F406">
        <f t="shared" si="43"/>
        <v>255.73709999999846</v>
      </c>
      <c r="G406">
        <f t="shared" si="44"/>
        <v>2.4144752717611853E-3</v>
      </c>
      <c r="H406">
        <f t="shared" si="45"/>
        <v>9.9392576758646101E-2</v>
      </c>
      <c r="I406">
        <f t="shared" si="46"/>
        <v>41.065898251068795</v>
      </c>
      <c r="J406" t="b">
        <f t="shared" si="47"/>
        <v>1</v>
      </c>
      <c r="K406">
        <f t="shared" si="48"/>
        <v>2573</v>
      </c>
    </row>
    <row r="407" spans="1:11" x14ac:dyDescent="0.3">
      <c r="A407" s="1">
        <v>42218</v>
      </c>
      <c r="B407">
        <v>73041.660870000007</v>
      </c>
      <c r="C407">
        <v>73046.233900000007</v>
      </c>
      <c r="D407">
        <v>1774</v>
      </c>
      <c r="E407">
        <f t="shared" si="42"/>
        <v>41.173427773393463</v>
      </c>
      <c r="F407">
        <f t="shared" si="43"/>
        <v>-4.5730299999995623</v>
      </c>
      <c r="G407">
        <f t="shared" si="44"/>
        <v>-6.2608516092462204E-5</v>
      </c>
      <c r="H407">
        <f t="shared" si="45"/>
        <v>-2.5778072153315179E-3</v>
      </c>
      <c r="I407">
        <f t="shared" si="46"/>
        <v>41.176005580608795</v>
      </c>
      <c r="J407" t="b">
        <f t="shared" si="47"/>
        <v>0</v>
      </c>
      <c r="K407">
        <f t="shared" si="48"/>
        <v>1774</v>
      </c>
    </row>
    <row r="408" spans="1:11" x14ac:dyDescent="0.3">
      <c r="A408" s="1">
        <v>42249</v>
      </c>
      <c r="B408">
        <v>97908.547099999996</v>
      </c>
      <c r="C408">
        <v>97097.936589999998</v>
      </c>
      <c r="D408">
        <v>2378</v>
      </c>
      <c r="E408">
        <f t="shared" si="42"/>
        <v>41.172643860386877</v>
      </c>
      <c r="F408">
        <f t="shared" si="43"/>
        <v>810.61050999999861</v>
      </c>
      <c r="G408">
        <f t="shared" si="44"/>
        <v>8.2792619644541602E-3</v>
      </c>
      <c r="H408">
        <f t="shared" si="45"/>
        <v>0.34087910428931423</v>
      </c>
      <c r="I408">
        <f t="shared" si="46"/>
        <v>40.831764756097563</v>
      </c>
      <c r="J408" t="b">
        <f t="shared" si="47"/>
        <v>1</v>
      </c>
      <c r="K408">
        <f t="shared" si="48"/>
        <v>2378</v>
      </c>
    </row>
    <row r="409" spans="1:11" x14ac:dyDescent="0.3">
      <c r="A409" s="1">
        <v>42279</v>
      </c>
      <c r="B409">
        <v>138667.41589999999</v>
      </c>
      <c r="C409">
        <v>148522.84899999999</v>
      </c>
      <c r="D409">
        <v>3677</v>
      </c>
      <c r="E409">
        <f t="shared" si="42"/>
        <v>37.712106581452268</v>
      </c>
      <c r="F409">
        <f t="shared" si="43"/>
        <v>-9855.4330999999947</v>
      </c>
      <c r="G409">
        <f t="shared" si="44"/>
        <v>-7.1072450842433244E-2</v>
      </c>
      <c r="H409">
        <f t="shared" si="45"/>
        <v>-2.6802918411748706</v>
      </c>
      <c r="I409">
        <f t="shared" si="46"/>
        <v>40.392398422627139</v>
      </c>
      <c r="J409" t="b">
        <f t="shared" si="47"/>
        <v>0</v>
      </c>
      <c r="K409">
        <f t="shared" si="48"/>
        <v>3677</v>
      </c>
    </row>
    <row r="410" spans="1:11" x14ac:dyDescent="0.3">
      <c r="A410" s="1">
        <v>42310</v>
      </c>
      <c r="B410">
        <v>162162.1035</v>
      </c>
      <c r="C410">
        <v>173661.8278</v>
      </c>
      <c r="D410">
        <v>4299</v>
      </c>
      <c r="E410">
        <f t="shared" si="42"/>
        <v>37.720889392882064</v>
      </c>
      <c r="F410">
        <f t="shared" si="43"/>
        <v>-11499.724300000002</v>
      </c>
      <c r="G410">
        <f t="shared" si="44"/>
        <v>-7.09149921701651E-2</v>
      </c>
      <c r="H410">
        <f t="shared" si="45"/>
        <v>-2.6749765759478947</v>
      </c>
      <c r="I410">
        <f t="shared" si="46"/>
        <v>40.395865968829959</v>
      </c>
      <c r="J410" t="b">
        <f t="shared" si="47"/>
        <v>0</v>
      </c>
      <c r="K410">
        <f t="shared" si="48"/>
        <v>4299</v>
      </c>
    </row>
    <row r="411" spans="1:11" x14ac:dyDescent="0.3">
      <c r="A411" s="1">
        <v>42340</v>
      </c>
      <c r="B411">
        <v>138520.1268</v>
      </c>
      <c r="C411">
        <v>147756.34280000001</v>
      </c>
      <c r="D411">
        <v>3674</v>
      </c>
      <c r="E411">
        <f t="shared" si="42"/>
        <v>37.702810778443116</v>
      </c>
      <c r="F411">
        <f t="shared" si="43"/>
        <v>-9236.2160000000149</v>
      </c>
      <c r="G411">
        <f t="shared" si="44"/>
        <v>-6.6677790537512091E-2</v>
      </c>
      <c r="H411">
        <f t="shared" si="45"/>
        <v>-2.513940119760484</v>
      </c>
      <c r="I411">
        <f t="shared" si="46"/>
        <v>40.2167508982036</v>
      </c>
      <c r="J411" t="b">
        <f t="shared" si="47"/>
        <v>0</v>
      </c>
      <c r="K411">
        <f t="shared" si="48"/>
        <v>3674</v>
      </c>
    </row>
    <row r="412" spans="1:11" x14ac:dyDescent="0.3">
      <c r="A412" t="s">
        <v>246</v>
      </c>
      <c r="B412">
        <v>358597.42849999998</v>
      </c>
      <c r="C412">
        <v>382447.08039999998</v>
      </c>
      <c r="D412">
        <v>9505</v>
      </c>
      <c r="E412">
        <f t="shared" si="42"/>
        <v>37.727241294055759</v>
      </c>
      <c r="F412">
        <f t="shared" si="43"/>
        <v>-23849.651899999997</v>
      </c>
      <c r="G412">
        <f t="shared" si="44"/>
        <v>-6.6508150936168797E-2</v>
      </c>
      <c r="H412">
        <f t="shared" si="45"/>
        <v>-2.5091690583903201</v>
      </c>
      <c r="I412">
        <f t="shared" si="46"/>
        <v>40.236410352446079</v>
      </c>
      <c r="J412" t="b">
        <f t="shared" si="47"/>
        <v>0</v>
      </c>
      <c r="K412">
        <f t="shared" si="48"/>
        <v>9505</v>
      </c>
    </row>
    <row r="413" spans="1:11" x14ac:dyDescent="0.3">
      <c r="A413" t="s">
        <v>247</v>
      </c>
      <c r="B413">
        <v>424009.88250000001</v>
      </c>
      <c r="C413">
        <v>451548.02759999997</v>
      </c>
      <c r="D413">
        <v>11237</v>
      </c>
      <c r="E413">
        <f t="shared" si="42"/>
        <v>37.733370339058467</v>
      </c>
      <c r="F413">
        <f t="shared" si="43"/>
        <v>-27538.145099999965</v>
      </c>
      <c r="G413">
        <f t="shared" si="44"/>
        <v>-6.4946941655304374E-2</v>
      </c>
      <c r="H413">
        <f t="shared" si="45"/>
        <v>-2.4506670018688226</v>
      </c>
      <c r="I413">
        <f t="shared" si="46"/>
        <v>40.18403734092729</v>
      </c>
      <c r="J413" t="b">
        <f t="shared" si="47"/>
        <v>0</v>
      </c>
      <c r="K413">
        <f t="shared" si="48"/>
        <v>11237</v>
      </c>
    </row>
    <row r="414" spans="1:11" x14ac:dyDescent="0.3">
      <c r="A414" t="s">
        <v>248</v>
      </c>
      <c r="B414">
        <v>203861.4724</v>
      </c>
      <c r="C414">
        <v>217065.6152</v>
      </c>
      <c r="D414">
        <v>5406</v>
      </c>
      <c r="E414">
        <f t="shared" si="42"/>
        <v>37.710224269330375</v>
      </c>
      <c r="F414">
        <f t="shared" si="43"/>
        <v>-13204.142800000001</v>
      </c>
      <c r="G414">
        <f t="shared" si="44"/>
        <v>-6.4770172826437419E-2</v>
      </c>
      <c r="H414">
        <f t="shared" si="45"/>
        <v>-2.4424977432482393</v>
      </c>
      <c r="I414">
        <f t="shared" si="46"/>
        <v>40.152722012578614</v>
      </c>
      <c r="J414" t="b">
        <f t="shared" si="47"/>
        <v>0</v>
      </c>
      <c r="K414">
        <f t="shared" si="48"/>
        <v>5406</v>
      </c>
    </row>
    <row r="415" spans="1:11" x14ac:dyDescent="0.3">
      <c r="A415" t="s">
        <v>249</v>
      </c>
      <c r="B415">
        <v>220506.20929999999</v>
      </c>
      <c r="C415">
        <v>234723.22</v>
      </c>
      <c r="D415">
        <v>5846</v>
      </c>
      <c r="E415">
        <f t="shared" si="42"/>
        <v>37.719159989736568</v>
      </c>
      <c r="F415">
        <f t="shared" si="43"/>
        <v>-14217.010700000013</v>
      </c>
      <c r="G415">
        <f t="shared" si="44"/>
        <v>-6.4474423396656766E-2</v>
      </c>
      <c r="H415">
        <f t="shared" si="45"/>
        <v>-2.4319210913445133</v>
      </c>
      <c r="I415">
        <f t="shared" si="46"/>
        <v>40.151081081081081</v>
      </c>
      <c r="J415" t="b">
        <f t="shared" si="47"/>
        <v>0</v>
      </c>
      <c r="K415">
        <f t="shared" si="48"/>
        <v>5846</v>
      </c>
    </row>
    <row r="416" spans="1:11" x14ac:dyDescent="0.3">
      <c r="A416" t="s">
        <v>250</v>
      </c>
      <c r="B416">
        <v>139935.93700000001</v>
      </c>
      <c r="C416">
        <v>148697.54370000001</v>
      </c>
      <c r="D416">
        <v>3713</v>
      </c>
      <c r="E416">
        <f t="shared" si="42"/>
        <v>37.688105844330728</v>
      </c>
      <c r="F416">
        <f t="shared" si="43"/>
        <v>-8761.6067000000039</v>
      </c>
      <c r="G416">
        <f t="shared" si="44"/>
        <v>-6.2611555600617472E-2</v>
      </c>
      <c r="H416">
        <f t="shared" si="45"/>
        <v>-2.3597109345542719</v>
      </c>
      <c r="I416">
        <f t="shared" si="46"/>
        <v>40.047816778885</v>
      </c>
      <c r="J416" t="b">
        <f t="shared" si="47"/>
        <v>0</v>
      </c>
      <c r="K416">
        <f t="shared" si="48"/>
        <v>3713</v>
      </c>
    </row>
    <row r="417" spans="1:11" x14ac:dyDescent="0.3">
      <c r="A417" t="s">
        <v>251</v>
      </c>
      <c r="B417">
        <v>161064.75229999999</v>
      </c>
      <c r="C417">
        <v>170739.36660000001</v>
      </c>
      <c r="D417">
        <v>4270</v>
      </c>
      <c r="E417">
        <f t="shared" si="42"/>
        <v>37.720082505854798</v>
      </c>
      <c r="F417">
        <f t="shared" si="43"/>
        <v>-9674.6143000000156</v>
      </c>
      <c r="G417">
        <f t="shared" si="44"/>
        <v>-6.0066613966412913E-2</v>
      </c>
      <c r="H417">
        <f t="shared" si="45"/>
        <v>-2.265717634660426</v>
      </c>
      <c r="I417">
        <f t="shared" si="46"/>
        <v>39.985800140515224</v>
      </c>
      <c r="J417" t="b">
        <f t="shared" si="47"/>
        <v>0</v>
      </c>
      <c r="K417">
        <f t="shared" si="48"/>
        <v>4270</v>
      </c>
    </row>
    <row r="418" spans="1:11" x14ac:dyDescent="0.3">
      <c r="A418" t="s">
        <v>252</v>
      </c>
      <c r="B418">
        <v>144328.54519999999</v>
      </c>
      <c r="C418">
        <v>152824.11489999999</v>
      </c>
      <c r="D418">
        <v>3827</v>
      </c>
      <c r="E418">
        <f t="shared" si="42"/>
        <v>37.71323365560491</v>
      </c>
      <c r="F418">
        <f t="shared" si="43"/>
        <v>-8495.5696999999927</v>
      </c>
      <c r="G418">
        <f t="shared" si="44"/>
        <v>-5.8862712765707231E-2</v>
      </c>
      <c r="H418">
        <f t="shared" si="45"/>
        <v>-2.2199032401358778</v>
      </c>
      <c r="I418">
        <f t="shared" si="46"/>
        <v>39.933136895740788</v>
      </c>
      <c r="J418" t="b">
        <f t="shared" si="47"/>
        <v>0</v>
      </c>
      <c r="K418">
        <f t="shared" si="48"/>
        <v>3827</v>
      </c>
    </row>
    <row r="419" spans="1:11" x14ac:dyDescent="0.3">
      <c r="A419" t="s">
        <v>253</v>
      </c>
      <c r="B419">
        <v>293071.75919999997</v>
      </c>
      <c r="C419">
        <v>310240.37839999999</v>
      </c>
      <c r="D419">
        <v>7770</v>
      </c>
      <c r="E419">
        <f t="shared" si="42"/>
        <v>37.718373127413123</v>
      </c>
      <c r="F419">
        <f t="shared" si="43"/>
        <v>-17168.619200000016</v>
      </c>
      <c r="G419">
        <f t="shared" si="44"/>
        <v>-5.8581622626708608E-2</v>
      </c>
      <c r="H419">
        <f t="shared" si="45"/>
        <v>-2.2096035006435031</v>
      </c>
      <c r="I419">
        <f t="shared" si="46"/>
        <v>39.927976628056626</v>
      </c>
      <c r="J419" t="b">
        <f t="shared" si="47"/>
        <v>0</v>
      </c>
      <c r="K419">
        <f t="shared" si="48"/>
        <v>7770</v>
      </c>
    </row>
    <row r="420" spans="1:11" x14ac:dyDescent="0.3">
      <c r="A420" t="s">
        <v>254</v>
      </c>
      <c r="B420">
        <v>267782.15399999998</v>
      </c>
      <c r="C420">
        <v>283430.33679999999</v>
      </c>
      <c r="D420">
        <v>7102</v>
      </c>
      <c r="E420">
        <f t="shared" si="42"/>
        <v>37.705175161926213</v>
      </c>
      <c r="F420">
        <f t="shared" si="43"/>
        <v>-15648.18280000001</v>
      </c>
      <c r="G420">
        <f t="shared" si="44"/>
        <v>-5.8436242170193352E-2</v>
      </c>
      <c r="H420">
        <f t="shared" si="45"/>
        <v>-2.2033487468318782</v>
      </c>
      <c r="I420">
        <f t="shared" si="46"/>
        <v>39.908523908758092</v>
      </c>
      <c r="J420" t="b">
        <f t="shared" si="47"/>
        <v>0</v>
      </c>
      <c r="K420">
        <f t="shared" si="48"/>
        <v>7102</v>
      </c>
    </row>
    <row r="421" spans="1:11" x14ac:dyDescent="0.3">
      <c r="A421" t="s">
        <v>255</v>
      </c>
      <c r="B421">
        <v>136052.68840000001</v>
      </c>
      <c r="C421">
        <v>144020.12280000001</v>
      </c>
      <c r="D421">
        <v>3608</v>
      </c>
      <c r="E421">
        <f t="shared" si="42"/>
        <v>37.708616518847009</v>
      </c>
      <c r="F421">
        <f t="shared" si="43"/>
        <v>-7967.4343999999983</v>
      </c>
      <c r="G421">
        <f t="shared" si="44"/>
        <v>-5.8561388927320879E-2</v>
      </c>
      <c r="H421">
        <f t="shared" si="45"/>
        <v>-2.2082689578713968</v>
      </c>
      <c r="I421">
        <f t="shared" si="46"/>
        <v>39.916885476718406</v>
      </c>
      <c r="J421" t="b">
        <f t="shared" si="47"/>
        <v>0</v>
      </c>
      <c r="K421">
        <f t="shared" si="48"/>
        <v>3608</v>
      </c>
    </row>
    <row r="422" spans="1:11" x14ac:dyDescent="0.3">
      <c r="A422" t="s">
        <v>256</v>
      </c>
      <c r="B422">
        <v>86703.31409</v>
      </c>
      <c r="C422">
        <v>85730.966539999994</v>
      </c>
      <c r="D422">
        <v>2150</v>
      </c>
      <c r="E422">
        <f t="shared" si="42"/>
        <v>40.327122832558139</v>
      </c>
      <c r="F422">
        <f t="shared" si="43"/>
        <v>972.34755000000587</v>
      </c>
      <c r="G422">
        <f t="shared" si="44"/>
        <v>1.1214652637045536E-2</v>
      </c>
      <c r="H422">
        <f t="shared" si="45"/>
        <v>0.45225467441860445</v>
      </c>
      <c r="I422">
        <f t="shared" si="46"/>
        <v>39.874868158139535</v>
      </c>
      <c r="J422" t="b">
        <f t="shared" si="47"/>
        <v>1</v>
      </c>
      <c r="K422">
        <f t="shared" si="48"/>
        <v>2150</v>
      </c>
    </row>
    <row r="423" spans="1:11" x14ac:dyDescent="0.3">
      <c r="A423" t="s">
        <v>257</v>
      </c>
      <c r="B423">
        <v>95474.357369999998</v>
      </c>
      <c r="C423">
        <v>100867.5241</v>
      </c>
      <c r="D423">
        <v>2530</v>
      </c>
      <c r="E423">
        <f t="shared" si="42"/>
        <v>37.736900146245056</v>
      </c>
      <c r="F423">
        <f t="shared" si="43"/>
        <v>-5393.1667299999972</v>
      </c>
      <c r="G423">
        <f t="shared" si="44"/>
        <v>-5.6488117632459089E-2</v>
      </c>
      <c r="H423">
        <f t="shared" si="45"/>
        <v>-2.1316864545454592</v>
      </c>
      <c r="I423">
        <f t="shared" si="46"/>
        <v>39.868586600790515</v>
      </c>
      <c r="J423" t="b">
        <f t="shared" si="47"/>
        <v>0</v>
      </c>
      <c r="K423">
        <f t="shared" si="48"/>
        <v>2530</v>
      </c>
    </row>
    <row r="424" spans="1:11" x14ac:dyDescent="0.3">
      <c r="A424" t="s">
        <v>258</v>
      </c>
      <c r="B424">
        <v>198431.6275</v>
      </c>
      <c r="C424">
        <v>209499.7941</v>
      </c>
      <c r="D424">
        <v>5253</v>
      </c>
      <c r="E424">
        <f t="shared" si="42"/>
        <v>37.774914810584427</v>
      </c>
      <c r="F424">
        <f t="shared" si="43"/>
        <v>-11068.166599999997</v>
      </c>
      <c r="G424">
        <f t="shared" si="44"/>
        <v>-5.5778238275045126E-2</v>
      </c>
      <c r="H424">
        <f t="shared" si="45"/>
        <v>-2.1070181991243118</v>
      </c>
      <c r="I424">
        <f t="shared" si="46"/>
        <v>39.881933009708739</v>
      </c>
      <c r="J424" t="b">
        <f t="shared" si="47"/>
        <v>0</v>
      </c>
      <c r="K424">
        <f t="shared" si="48"/>
        <v>5253</v>
      </c>
    </row>
    <row r="425" spans="1:11" x14ac:dyDescent="0.3">
      <c r="A425" t="s">
        <v>259</v>
      </c>
      <c r="B425">
        <v>157291.734</v>
      </c>
      <c r="C425">
        <v>166305.03760000001</v>
      </c>
      <c r="D425">
        <v>4171</v>
      </c>
      <c r="E425">
        <f t="shared" si="42"/>
        <v>37.71079693119156</v>
      </c>
      <c r="F425">
        <f t="shared" si="43"/>
        <v>-9013.3036000000138</v>
      </c>
      <c r="G425">
        <f t="shared" si="44"/>
        <v>-5.7303097694885952E-2</v>
      </c>
      <c r="H425">
        <f t="shared" si="45"/>
        <v>-2.1609454807000787</v>
      </c>
      <c r="I425">
        <f t="shared" si="46"/>
        <v>39.871742411891638</v>
      </c>
      <c r="J425" t="b">
        <f t="shared" si="47"/>
        <v>0</v>
      </c>
      <c r="K425">
        <f t="shared" si="48"/>
        <v>4171</v>
      </c>
    </row>
    <row r="426" spans="1:11" x14ac:dyDescent="0.3">
      <c r="A426" t="s">
        <v>260</v>
      </c>
      <c r="B426">
        <v>307540.6752</v>
      </c>
      <c r="C426">
        <v>324997.33649999998</v>
      </c>
      <c r="D426">
        <v>8156</v>
      </c>
      <c r="E426">
        <f t="shared" si="42"/>
        <v>37.707292202059833</v>
      </c>
      <c r="F426">
        <f t="shared" si="43"/>
        <v>-17456.661299999978</v>
      </c>
      <c r="G426">
        <f t="shared" si="44"/>
        <v>-5.6762121916548287E-2</v>
      </c>
      <c r="H426">
        <f t="shared" si="45"/>
        <v>-2.1403459171162282</v>
      </c>
      <c r="I426">
        <f t="shared" si="46"/>
        <v>39.847638119176061</v>
      </c>
      <c r="J426" t="b">
        <f t="shared" si="47"/>
        <v>0</v>
      </c>
      <c r="K426">
        <f t="shared" si="48"/>
        <v>8156</v>
      </c>
    </row>
    <row r="427" spans="1:11" x14ac:dyDescent="0.3">
      <c r="A427" t="s">
        <v>261</v>
      </c>
      <c r="B427">
        <v>350898.7635</v>
      </c>
      <c r="C427">
        <v>375030.63549999997</v>
      </c>
      <c r="D427">
        <v>9296</v>
      </c>
      <c r="E427">
        <f t="shared" si="42"/>
        <v>37.747285230206543</v>
      </c>
      <c r="F427">
        <f t="shared" si="43"/>
        <v>-24131.871999999974</v>
      </c>
      <c r="G427">
        <f t="shared" si="44"/>
        <v>-6.8771607398382797E-2</v>
      </c>
      <c r="H427">
        <f t="shared" si="45"/>
        <v>-2.5959414802065339</v>
      </c>
      <c r="I427">
        <f t="shared" si="46"/>
        <v>40.343226710413077</v>
      </c>
      <c r="J427" t="b">
        <f t="shared" si="47"/>
        <v>0</v>
      </c>
      <c r="K427">
        <f t="shared" si="48"/>
        <v>9296</v>
      </c>
    </row>
    <row r="428" spans="1:11" x14ac:dyDescent="0.3">
      <c r="A428" s="1">
        <v>42007</v>
      </c>
      <c r="B428">
        <v>256701.54269999999</v>
      </c>
      <c r="C428">
        <v>276569.25040000002</v>
      </c>
      <c r="D428">
        <v>6803</v>
      </c>
      <c r="E428">
        <f t="shared" si="42"/>
        <v>37.733579700132296</v>
      </c>
      <c r="F428">
        <f t="shared" si="43"/>
        <v>-19867.707700000028</v>
      </c>
      <c r="G428">
        <f t="shared" si="44"/>
        <v>-7.7396136739306121E-2</v>
      </c>
      <c r="H428">
        <f t="shared" si="45"/>
        <v>-2.9204332941349449</v>
      </c>
      <c r="I428">
        <f t="shared" si="46"/>
        <v>40.654012994267241</v>
      </c>
      <c r="J428" t="b">
        <f t="shared" si="47"/>
        <v>0</v>
      </c>
      <c r="K428">
        <f t="shared" si="48"/>
        <v>6803</v>
      </c>
    </row>
    <row r="429" spans="1:11" x14ac:dyDescent="0.3">
      <c r="A429" s="1">
        <v>42038</v>
      </c>
      <c r="B429">
        <v>234705.59280000001</v>
      </c>
      <c r="C429">
        <v>252709.82310000001</v>
      </c>
      <c r="D429">
        <v>6221</v>
      </c>
      <c r="E429">
        <f t="shared" si="42"/>
        <v>37.727952547821893</v>
      </c>
      <c r="F429">
        <f t="shared" si="43"/>
        <v>-18004.230299999996</v>
      </c>
      <c r="G429">
        <f t="shared" si="44"/>
        <v>-7.6709847793622735E-2</v>
      </c>
      <c r="H429">
        <f t="shared" si="45"/>
        <v>-2.8941054975084413</v>
      </c>
      <c r="I429">
        <f t="shared" si="46"/>
        <v>40.622058045330334</v>
      </c>
      <c r="J429" t="b">
        <f t="shared" si="47"/>
        <v>0</v>
      </c>
      <c r="K429">
        <f t="shared" si="48"/>
        <v>6221</v>
      </c>
    </row>
    <row r="430" spans="1:11" x14ac:dyDescent="0.3">
      <c r="A430" s="1">
        <v>42066</v>
      </c>
      <c r="B430">
        <v>249380.56539999999</v>
      </c>
      <c r="C430">
        <v>268761.83240000001</v>
      </c>
      <c r="D430">
        <v>6611</v>
      </c>
      <c r="E430">
        <f t="shared" si="42"/>
        <v>37.722064044773859</v>
      </c>
      <c r="F430">
        <f t="shared" si="43"/>
        <v>-19381.267000000022</v>
      </c>
      <c r="G430">
        <f t="shared" si="44"/>
        <v>-7.7717631961067096E-2</v>
      </c>
      <c r="H430">
        <f t="shared" si="45"/>
        <v>-2.9316694902435358</v>
      </c>
      <c r="I430">
        <f t="shared" si="46"/>
        <v>40.653733535017395</v>
      </c>
      <c r="J430" t="b">
        <f t="shared" si="47"/>
        <v>0</v>
      </c>
      <c r="K430">
        <f t="shared" si="48"/>
        <v>6611</v>
      </c>
    </row>
    <row r="431" spans="1:11" x14ac:dyDescent="0.3">
      <c r="A431" s="1">
        <v>42097</v>
      </c>
      <c r="B431">
        <v>258211.4442</v>
      </c>
      <c r="C431">
        <v>278825.6067</v>
      </c>
      <c r="D431">
        <v>6843</v>
      </c>
      <c r="E431">
        <f t="shared" si="42"/>
        <v>37.733661288908372</v>
      </c>
      <c r="F431">
        <f t="shared" si="43"/>
        <v>-20614.162500000006</v>
      </c>
      <c r="G431">
        <f t="shared" si="44"/>
        <v>-7.9834426254295376E-2</v>
      </c>
      <c r="H431">
        <f t="shared" si="45"/>
        <v>-3.0124451994739161</v>
      </c>
      <c r="I431">
        <f t="shared" si="46"/>
        <v>40.746106488382289</v>
      </c>
      <c r="J431" t="b">
        <f t="shared" si="47"/>
        <v>0</v>
      </c>
      <c r="K431">
        <f t="shared" si="48"/>
        <v>6843</v>
      </c>
    </row>
    <row r="432" spans="1:11" x14ac:dyDescent="0.3">
      <c r="A432" s="1">
        <v>42127</v>
      </c>
      <c r="B432">
        <v>145975.8339</v>
      </c>
      <c r="C432">
        <v>157578.00589999999</v>
      </c>
      <c r="D432">
        <v>3858</v>
      </c>
      <c r="E432">
        <f t="shared" si="42"/>
        <v>37.837178304821151</v>
      </c>
      <c r="F432">
        <f t="shared" si="43"/>
        <v>-11602.171999999991</v>
      </c>
      <c r="G432">
        <f t="shared" si="44"/>
        <v>-7.9480087148863288E-2</v>
      </c>
      <c r="H432">
        <f t="shared" si="45"/>
        <v>-3.007302229134261</v>
      </c>
      <c r="I432">
        <f t="shared" si="46"/>
        <v>40.844480533955412</v>
      </c>
      <c r="J432" t="b">
        <f t="shared" si="47"/>
        <v>0</v>
      </c>
      <c r="K432">
        <f t="shared" si="48"/>
        <v>3858</v>
      </c>
    </row>
    <row r="433" spans="1:11" x14ac:dyDescent="0.3">
      <c r="A433" s="1">
        <v>42158</v>
      </c>
      <c r="B433">
        <v>269239.85259999998</v>
      </c>
      <c r="C433">
        <v>291365.01760000002</v>
      </c>
      <c r="D433">
        <v>7128</v>
      </c>
      <c r="E433">
        <f t="shared" si="42"/>
        <v>37.772145426487093</v>
      </c>
      <c r="F433">
        <f t="shared" si="43"/>
        <v>-22125.165000000037</v>
      </c>
      <c r="G433">
        <f t="shared" si="44"/>
        <v>-8.2176411799149973E-2</v>
      </c>
      <c r="H433">
        <f t="shared" si="45"/>
        <v>-3.1039793771043804</v>
      </c>
      <c r="I433">
        <f t="shared" si="46"/>
        <v>40.876124803591473</v>
      </c>
      <c r="J433" t="b">
        <f t="shared" si="47"/>
        <v>0</v>
      </c>
      <c r="K433">
        <f t="shared" si="48"/>
        <v>7128</v>
      </c>
    </row>
    <row r="434" spans="1:11" x14ac:dyDescent="0.3">
      <c r="A434" s="1">
        <v>42188</v>
      </c>
      <c r="B434">
        <v>306920.21159999998</v>
      </c>
      <c r="C434">
        <v>332242.41159999999</v>
      </c>
      <c r="D434">
        <v>8127</v>
      </c>
      <c r="E434">
        <f t="shared" si="42"/>
        <v>37.765499150978215</v>
      </c>
      <c r="F434">
        <f t="shared" si="43"/>
        <v>-25322.200000000012</v>
      </c>
      <c r="G434">
        <f t="shared" si="44"/>
        <v>-8.2504178750540169E-2</v>
      </c>
      <c r="H434">
        <f t="shared" si="45"/>
        <v>-3.1158114925556859</v>
      </c>
      <c r="I434">
        <f t="shared" si="46"/>
        <v>40.881310643533901</v>
      </c>
      <c r="J434" t="b">
        <f t="shared" si="47"/>
        <v>0</v>
      </c>
      <c r="K434">
        <f t="shared" si="48"/>
        <v>8127</v>
      </c>
    </row>
    <row r="435" spans="1:11" x14ac:dyDescent="0.3">
      <c r="A435" s="1">
        <v>42219</v>
      </c>
      <c r="B435">
        <v>122106.7956</v>
      </c>
      <c r="C435">
        <v>121394.8122</v>
      </c>
      <c r="D435">
        <v>2966</v>
      </c>
      <c r="E435">
        <f t="shared" si="42"/>
        <v>41.168845448415375</v>
      </c>
      <c r="F435">
        <f t="shared" si="43"/>
        <v>711.98339999999735</v>
      </c>
      <c r="G435">
        <f t="shared" si="44"/>
        <v>5.8308253566191964E-3</v>
      </c>
      <c r="H435">
        <f t="shared" si="45"/>
        <v>0.2400483479433575</v>
      </c>
      <c r="I435">
        <f t="shared" si="46"/>
        <v>40.928797100472018</v>
      </c>
      <c r="J435" t="b">
        <f t="shared" si="47"/>
        <v>1</v>
      </c>
      <c r="K435">
        <f t="shared" si="48"/>
        <v>2966</v>
      </c>
    </row>
    <row r="436" spans="1:11" x14ac:dyDescent="0.3">
      <c r="A436" s="1">
        <v>42250</v>
      </c>
      <c r="B436">
        <v>117661.28079999999</v>
      </c>
      <c r="C436">
        <v>116861.1583</v>
      </c>
      <c r="D436">
        <v>2858</v>
      </c>
      <c r="E436">
        <f t="shared" si="42"/>
        <v>41.169097550734776</v>
      </c>
      <c r="F436">
        <f t="shared" si="43"/>
        <v>800.12249999999767</v>
      </c>
      <c r="G436">
        <f t="shared" si="44"/>
        <v>6.8002191932624084E-3</v>
      </c>
      <c r="H436">
        <f t="shared" si="45"/>
        <v>0.27995888733379815</v>
      </c>
      <c r="I436">
        <f t="shared" si="46"/>
        <v>40.889138663400978</v>
      </c>
      <c r="J436" t="b">
        <f t="shared" si="47"/>
        <v>1</v>
      </c>
      <c r="K436">
        <f t="shared" si="48"/>
        <v>2858</v>
      </c>
    </row>
    <row r="437" spans="1:11" x14ac:dyDescent="0.3">
      <c r="A437" s="1">
        <v>42280</v>
      </c>
      <c r="B437">
        <v>62499.799169999998</v>
      </c>
      <c r="C437">
        <v>62073.872649999998</v>
      </c>
      <c r="D437">
        <v>1518</v>
      </c>
      <c r="E437">
        <f t="shared" si="42"/>
        <v>41.172463221343875</v>
      </c>
      <c r="F437">
        <f t="shared" si="43"/>
        <v>425.92652000000089</v>
      </c>
      <c r="G437">
        <f t="shared" si="44"/>
        <v>6.8148462180090703E-3</v>
      </c>
      <c r="H437">
        <f t="shared" si="45"/>
        <v>0.28058400527009297</v>
      </c>
      <c r="I437">
        <f t="shared" si="46"/>
        <v>40.891879216073782</v>
      </c>
      <c r="J437" t="b">
        <f t="shared" si="47"/>
        <v>1</v>
      </c>
      <c r="K437">
        <f t="shared" si="48"/>
        <v>1518</v>
      </c>
    </row>
    <row r="438" spans="1:11" x14ac:dyDescent="0.3">
      <c r="A438" s="1">
        <v>42311</v>
      </c>
      <c r="B438">
        <v>57063.984120000001</v>
      </c>
      <c r="C438">
        <v>56638.281369999997</v>
      </c>
      <c r="D438">
        <v>1386</v>
      </c>
      <c r="E438">
        <f t="shared" si="42"/>
        <v>41.171705714285714</v>
      </c>
      <c r="F438">
        <f t="shared" si="43"/>
        <v>425.70275000000402</v>
      </c>
      <c r="G438">
        <f t="shared" si="44"/>
        <v>7.4600951294391329E-3</v>
      </c>
      <c r="H438">
        <f t="shared" si="45"/>
        <v>0.30714484126984587</v>
      </c>
      <c r="I438">
        <f t="shared" si="46"/>
        <v>40.864560873015868</v>
      </c>
      <c r="J438" t="b">
        <f t="shared" si="47"/>
        <v>1</v>
      </c>
      <c r="K438">
        <f t="shared" si="48"/>
        <v>1386</v>
      </c>
    </row>
    <row r="439" spans="1:11" x14ac:dyDescent="0.3">
      <c r="A439" s="1">
        <v>42341</v>
      </c>
      <c r="B439">
        <v>48008.482839999997</v>
      </c>
      <c r="C439">
        <v>47681.672079999997</v>
      </c>
      <c r="D439">
        <v>1166</v>
      </c>
      <c r="E439">
        <f t="shared" si="42"/>
        <v>41.173655951972556</v>
      </c>
      <c r="F439">
        <f t="shared" si="43"/>
        <v>326.8107600000003</v>
      </c>
      <c r="G439">
        <f t="shared" si="44"/>
        <v>6.8073544646094532E-3</v>
      </c>
      <c r="H439">
        <f t="shared" si="45"/>
        <v>0.28028367066895754</v>
      </c>
      <c r="I439">
        <f t="shared" si="46"/>
        <v>40.893372281303598</v>
      </c>
      <c r="J439" t="b">
        <f t="shared" si="47"/>
        <v>1</v>
      </c>
      <c r="K439">
        <f t="shared" si="48"/>
        <v>1166</v>
      </c>
    </row>
    <row r="440" spans="1:11" x14ac:dyDescent="0.3">
      <c r="A440" t="s">
        <v>262</v>
      </c>
      <c r="B440">
        <v>117446.8391</v>
      </c>
      <c r="C440">
        <v>116681.1416</v>
      </c>
      <c r="D440">
        <v>2853</v>
      </c>
      <c r="E440">
        <f t="shared" si="42"/>
        <v>41.166084507535928</v>
      </c>
      <c r="F440">
        <f t="shared" si="43"/>
        <v>765.69749999999476</v>
      </c>
      <c r="G440">
        <f t="shared" si="44"/>
        <v>6.5195241171883932E-3</v>
      </c>
      <c r="H440">
        <f t="shared" si="45"/>
        <v>0.26838328075709939</v>
      </c>
      <c r="I440">
        <f t="shared" si="46"/>
        <v>40.897701226778828</v>
      </c>
      <c r="J440" t="b">
        <f t="shared" si="47"/>
        <v>1</v>
      </c>
      <c r="K440">
        <f t="shared" si="48"/>
        <v>2853</v>
      </c>
    </row>
    <row r="441" spans="1:11" x14ac:dyDescent="0.3">
      <c r="A441" t="s">
        <v>263</v>
      </c>
      <c r="B441">
        <v>150591.54790000001</v>
      </c>
      <c r="C441">
        <v>149573.82759999999</v>
      </c>
      <c r="D441">
        <v>3657</v>
      </c>
      <c r="E441">
        <f t="shared" si="42"/>
        <v>41.178984933005196</v>
      </c>
      <c r="F441">
        <f t="shared" si="43"/>
        <v>1017.7203000000154</v>
      </c>
      <c r="G441">
        <f t="shared" si="44"/>
        <v>6.7581502029305813E-3</v>
      </c>
      <c r="H441">
        <f t="shared" si="45"/>
        <v>0.27829376538146278</v>
      </c>
      <c r="I441">
        <f t="shared" si="46"/>
        <v>40.900691167623734</v>
      </c>
      <c r="J441" t="b">
        <f t="shared" si="47"/>
        <v>1</v>
      </c>
      <c r="K441">
        <f t="shared" si="48"/>
        <v>3657</v>
      </c>
    </row>
    <row r="442" spans="1:11" x14ac:dyDescent="0.3">
      <c r="A442" t="s">
        <v>264</v>
      </c>
      <c r="B442">
        <v>67152.474950000003</v>
      </c>
      <c r="C442">
        <v>66802.983219999995</v>
      </c>
      <c r="D442">
        <v>1631</v>
      </c>
      <c r="E442">
        <f t="shared" si="42"/>
        <v>41.172578142244021</v>
      </c>
      <c r="F442">
        <f t="shared" si="43"/>
        <v>349.49173000000883</v>
      </c>
      <c r="G442">
        <f t="shared" si="44"/>
        <v>5.2044504727522152E-3</v>
      </c>
      <c r="H442">
        <f t="shared" si="45"/>
        <v>0.21428064377682432</v>
      </c>
      <c r="I442">
        <f t="shared" si="46"/>
        <v>40.958297498467196</v>
      </c>
      <c r="J442" t="b">
        <f t="shared" si="47"/>
        <v>1</v>
      </c>
      <c r="K442">
        <f t="shared" si="48"/>
        <v>1631</v>
      </c>
    </row>
    <row r="443" spans="1:11" x14ac:dyDescent="0.3">
      <c r="A443" t="s">
        <v>265</v>
      </c>
      <c r="B443">
        <v>80635.289250000002</v>
      </c>
      <c r="C443">
        <v>80121.290519999995</v>
      </c>
      <c r="D443">
        <v>1959</v>
      </c>
      <c r="E443">
        <f t="shared" si="42"/>
        <v>41.16145444104135</v>
      </c>
      <c r="F443">
        <f t="shared" si="43"/>
        <v>513.99873000000662</v>
      </c>
      <c r="G443">
        <f t="shared" si="44"/>
        <v>6.3743645590011522E-3</v>
      </c>
      <c r="H443">
        <f t="shared" si="45"/>
        <v>0.26237811638591779</v>
      </c>
      <c r="I443">
        <f t="shared" si="46"/>
        <v>40.899076324655432</v>
      </c>
      <c r="J443" t="b">
        <f t="shared" si="47"/>
        <v>1</v>
      </c>
      <c r="K443">
        <f t="shared" si="48"/>
        <v>1959</v>
      </c>
    </row>
    <row r="444" spans="1:11" x14ac:dyDescent="0.3">
      <c r="A444" t="s">
        <v>266</v>
      </c>
      <c r="B444">
        <v>50669.6371</v>
      </c>
      <c r="C444">
        <v>50308.957049999997</v>
      </c>
      <c r="D444">
        <v>1230</v>
      </c>
      <c r="E444">
        <f t="shared" si="42"/>
        <v>41.194826910569105</v>
      </c>
      <c r="F444">
        <f t="shared" si="43"/>
        <v>360.68005000000267</v>
      </c>
      <c r="G444">
        <f t="shared" si="44"/>
        <v>7.1182678748650972E-3</v>
      </c>
      <c r="H444">
        <f t="shared" si="45"/>
        <v>0.29323581300813117</v>
      </c>
      <c r="I444">
        <f t="shared" si="46"/>
        <v>40.901591097560974</v>
      </c>
      <c r="J444" t="b">
        <f t="shared" si="47"/>
        <v>1</v>
      </c>
      <c r="K444">
        <f t="shared" si="48"/>
        <v>1230</v>
      </c>
    </row>
    <row r="445" spans="1:11" x14ac:dyDescent="0.3">
      <c r="A445" t="s">
        <v>267</v>
      </c>
      <c r="B445">
        <v>48648.992660000004</v>
      </c>
      <c r="C445">
        <v>48362.068789999998</v>
      </c>
      <c r="D445">
        <v>1182</v>
      </c>
      <c r="E445">
        <f t="shared" si="42"/>
        <v>41.158200219966162</v>
      </c>
      <c r="F445">
        <f t="shared" si="43"/>
        <v>286.92387000000599</v>
      </c>
      <c r="G445">
        <f t="shared" si="44"/>
        <v>5.8978378443572477E-3</v>
      </c>
      <c r="H445">
        <f t="shared" si="45"/>
        <v>0.24274439086294564</v>
      </c>
      <c r="I445">
        <f t="shared" si="46"/>
        <v>40.915455829103216</v>
      </c>
      <c r="J445" t="b">
        <f t="shared" si="47"/>
        <v>1</v>
      </c>
      <c r="K445">
        <f t="shared" si="48"/>
        <v>1182</v>
      </c>
    </row>
    <row r="446" spans="1:11" x14ac:dyDescent="0.3">
      <c r="A446" t="s">
        <v>268</v>
      </c>
      <c r="B446">
        <v>43213.177620000002</v>
      </c>
      <c r="C446">
        <v>42981.216849999997</v>
      </c>
      <c r="D446">
        <v>1050</v>
      </c>
      <c r="E446">
        <f t="shared" si="42"/>
        <v>41.155407257142862</v>
      </c>
      <c r="F446">
        <f t="shared" si="43"/>
        <v>231.96077000000514</v>
      </c>
      <c r="G446">
        <f t="shared" si="44"/>
        <v>5.3678248806366098E-3</v>
      </c>
      <c r="H446">
        <f t="shared" si="45"/>
        <v>0.22091501904762367</v>
      </c>
      <c r="I446">
        <f t="shared" si="46"/>
        <v>40.934492238095238</v>
      </c>
      <c r="J446" t="b">
        <f t="shared" si="47"/>
        <v>1</v>
      </c>
      <c r="K446">
        <f t="shared" si="48"/>
        <v>1050</v>
      </c>
    </row>
    <row r="447" spans="1:11" x14ac:dyDescent="0.3">
      <c r="A447" t="s">
        <v>269</v>
      </c>
      <c r="B447">
        <v>96881.018089999998</v>
      </c>
      <c r="C447">
        <v>96453.287280000004</v>
      </c>
      <c r="D447">
        <v>2353</v>
      </c>
      <c r="E447">
        <f t="shared" si="42"/>
        <v>41.173403353166172</v>
      </c>
      <c r="F447">
        <f t="shared" si="43"/>
        <v>427.73080999999365</v>
      </c>
      <c r="G447">
        <f t="shared" si="44"/>
        <v>4.4150115103315972E-3</v>
      </c>
      <c r="H447">
        <f t="shared" si="45"/>
        <v>0.18178104972375309</v>
      </c>
      <c r="I447">
        <f t="shared" si="46"/>
        <v>40.991622303442419</v>
      </c>
      <c r="J447" t="b">
        <f t="shared" si="47"/>
        <v>1</v>
      </c>
      <c r="K447">
        <f t="shared" si="48"/>
        <v>2353</v>
      </c>
    </row>
    <row r="448" spans="1:11" x14ac:dyDescent="0.3">
      <c r="A448" t="s">
        <v>270</v>
      </c>
      <c r="B448">
        <v>121360.8851</v>
      </c>
      <c r="C448">
        <v>120829.288</v>
      </c>
      <c r="D448">
        <v>2947</v>
      </c>
      <c r="E448">
        <f t="shared" si="42"/>
        <v>41.181162232779094</v>
      </c>
      <c r="F448">
        <f t="shared" si="43"/>
        <v>531.59709999999905</v>
      </c>
      <c r="G448">
        <f t="shared" si="44"/>
        <v>4.3803001235692132E-3</v>
      </c>
      <c r="H448">
        <f t="shared" si="45"/>
        <v>0.18038585001696106</v>
      </c>
      <c r="I448">
        <f t="shared" si="46"/>
        <v>41.000776382762133</v>
      </c>
      <c r="J448" t="b">
        <f t="shared" si="47"/>
        <v>1</v>
      </c>
      <c r="K448">
        <f t="shared" si="48"/>
        <v>2947</v>
      </c>
    </row>
    <row r="449" spans="1:11" x14ac:dyDescent="0.3">
      <c r="A449" t="s">
        <v>271</v>
      </c>
      <c r="B449">
        <v>66954.366370000003</v>
      </c>
      <c r="C449">
        <v>66756.376439999993</v>
      </c>
      <c r="D449">
        <v>1626</v>
      </c>
      <c r="E449">
        <f t="shared" si="42"/>
        <v>41.177347091020913</v>
      </c>
      <c r="F449">
        <f t="shared" si="43"/>
        <v>197.98993000001065</v>
      </c>
      <c r="G449">
        <f t="shared" si="44"/>
        <v>2.9570876513995846E-3</v>
      </c>
      <c r="H449">
        <f t="shared" si="45"/>
        <v>0.12176502460025063</v>
      </c>
      <c r="I449">
        <f t="shared" si="46"/>
        <v>41.055582066420662</v>
      </c>
      <c r="J449" t="b">
        <f t="shared" si="47"/>
        <v>1</v>
      </c>
      <c r="K449">
        <f t="shared" si="48"/>
        <v>1626</v>
      </c>
    </row>
    <row r="450" spans="1:11" x14ac:dyDescent="0.3">
      <c r="A450" t="s">
        <v>272</v>
      </c>
      <c r="B450">
        <v>81342.150760000004</v>
      </c>
      <c r="C450">
        <v>81132.012900000002</v>
      </c>
      <c r="D450">
        <v>1976</v>
      </c>
      <c r="E450">
        <f t="shared" si="42"/>
        <v>41.165056052631584</v>
      </c>
      <c r="F450">
        <f t="shared" si="43"/>
        <v>210.13786000000255</v>
      </c>
      <c r="G450">
        <f t="shared" si="44"/>
        <v>2.5833821461152934E-3</v>
      </c>
      <c r="H450">
        <f t="shared" si="45"/>
        <v>0.10634507085021028</v>
      </c>
      <c r="I450">
        <f t="shared" si="46"/>
        <v>41.058710981781374</v>
      </c>
      <c r="J450" t="b">
        <f t="shared" si="47"/>
        <v>1</v>
      </c>
      <c r="K450">
        <f t="shared" si="48"/>
        <v>1976</v>
      </c>
    </row>
    <row r="451" spans="1:11" x14ac:dyDescent="0.3">
      <c r="A451" t="s">
        <v>273</v>
      </c>
      <c r="B451">
        <v>125060.70789999999</v>
      </c>
      <c r="C451">
        <v>136375.15270000001</v>
      </c>
      <c r="D451">
        <v>3312</v>
      </c>
      <c r="E451">
        <f t="shared" ref="E451:E514" si="49">B451/D451</f>
        <v>37.759875573671493</v>
      </c>
      <c r="F451">
        <f t="shared" ref="F451:F514" si="50">B451-C451</f>
        <v>-11314.444800000012</v>
      </c>
      <c r="G451">
        <f t="shared" ref="G451:H514" si="51">F451/B451</f>
        <v>-9.0471619663685054E-2</v>
      </c>
      <c r="H451">
        <f t="shared" ref="H451:H514" si="52">E451-I451</f>
        <v>-3.4161971014492778</v>
      </c>
      <c r="I451">
        <f t="shared" ref="I451:I514" si="53">C451/D451</f>
        <v>41.176072675120771</v>
      </c>
      <c r="J451" t="b">
        <f t="shared" ref="J451:J514" si="54">H451&gt;0</f>
        <v>0</v>
      </c>
      <c r="K451">
        <f t="shared" ref="K451:K514" si="55">D451</f>
        <v>3312</v>
      </c>
    </row>
    <row r="452" spans="1:11" x14ac:dyDescent="0.3">
      <c r="A452" t="s">
        <v>274</v>
      </c>
      <c r="B452">
        <v>253218.83119999999</v>
      </c>
      <c r="C452">
        <v>276194.82949999999</v>
      </c>
      <c r="D452">
        <v>6704</v>
      </c>
      <c r="E452">
        <f t="shared" si="49"/>
        <v>37.771305369928399</v>
      </c>
      <c r="F452">
        <f t="shared" si="50"/>
        <v>-22975.998300000007</v>
      </c>
      <c r="G452">
        <f t="shared" si="51"/>
        <v>-9.0735741062847181E-2</v>
      </c>
      <c r="H452">
        <f t="shared" si="52"/>
        <v>-3.4272073836515489</v>
      </c>
      <c r="I452">
        <f t="shared" si="53"/>
        <v>41.198512753579948</v>
      </c>
      <c r="J452" t="b">
        <f t="shared" si="54"/>
        <v>0</v>
      </c>
      <c r="K452">
        <f t="shared" si="55"/>
        <v>6704</v>
      </c>
    </row>
    <row r="453" spans="1:11" x14ac:dyDescent="0.3">
      <c r="A453" t="s">
        <v>275</v>
      </c>
      <c r="B453">
        <v>229184.4719</v>
      </c>
      <c r="C453">
        <v>250361.1502</v>
      </c>
      <c r="D453">
        <v>6077</v>
      </c>
      <c r="E453">
        <f t="shared" si="49"/>
        <v>37.713423054138559</v>
      </c>
      <c r="F453">
        <f t="shared" si="50"/>
        <v>-21176.6783</v>
      </c>
      <c r="G453">
        <f t="shared" si="51"/>
        <v>-9.24001444096091E-2</v>
      </c>
      <c r="H453">
        <f t="shared" si="52"/>
        <v>-3.4847257363830835</v>
      </c>
      <c r="I453">
        <f t="shared" si="53"/>
        <v>41.198148790521643</v>
      </c>
      <c r="J453" t="b">
        <f t="shared" si="54"/>
        <v>0</v>
      </c>
      <c r="K453">
        <f t="shared" si="55"/>
        <v>6077</v>
      </c>
    </row>
    <row r="454" spans="1:11" x14ac:dyDescent="0.3">
      <c r="A454" t="s">
        <v>276</v>
      </c>
      <c r="B454">
        <v>354191.35100000002</v>
      </c>
      <c r="C454">
        <v>386464.65130000003</v>
      </c>
      <c r="D454">
        <v>9386</v>
      </c>
      <c r="E454">
        <f t="shared" si="49"/>
        <v>37.736133709780525</v>
      </c>
      <c r="F454">
        <f t="shared" si="50"/>
        <v>-32273.300300000003</v>
      </c>
      <c r="G454">
        <f t="shared" si="51"/>
        <v>-9.111826194762164E-2</v>
      </c>
      <c r="H454">
        <f t="shared" si="52"/>
        <v>-3.4384509162582617</v>
      </c>
      <c r="I454">
        <f t="shared" si="53"/>
        <v>41.174584626038786</v>
      </c>
      <c r="J454" t="b">
        <f t="shared" si="54"/>
        <v>0</v>
      </c>
      <c r="K454">
        <f t="shared" si="55"/>
        <v>9386</v>
      </c>
    </row>
    <row r="455" spans="1:11" x14ac:dyDescent="0.3">
      <c r="A455" t="s">
        <v>277</v>
      </c>
      <c r="B455">
        <v>459484.6666</v>
      </c>
      <c r="C455">
        <v>501362.57250000001</v>
      </c>
      <c r="D455">
        <v>12181</v>
      </c>
      <c r="E455">
        <f t="shared" si="49"/>
        <v>37.721424070273379</v>
      </c>
      <c r="F455">
        <f t="shared" si="50"/>
        <v>-41877.905900000012</v>
      </c>
      <c r="G455">
        <f t="shared" si="51"/>
        <v>-9.1141030254348887E-2</v>
      </c>
      <c r="H455">
        <f t="shared" si="52"/>
        <v>-3.4379694524259108</v>
      </c>
      <c r="I455">
        <f t="shared" si="53"/>
        <v>41.15939352269929</v>
      </c>
      <c r="J455" t="b">
        <f t="shared" si="54"/>
        <v>0</v>
      </c>
      <c r="K455">
        <f t="shared" si="55"/>
        <v>12181</v>
      </c>
    </row>
    <row r="456" spans="1:11" x14ac:dyDescent="0.3">
      <c r="A456" t="s">
        <v>278</v>
      </c>
      <c r="B456">
        <v>224102.8885</v>
      </c>
      <c r="C456">
        <v>244359.8075</v>
      </c>
      <c r="D456">
        <v>5937</v>
      </c>
      <c r="E456">
        <f t="shared" si="49"/>
        <v>37.746823058783896</v>
      </c>
      <c r="F456">
        <f t="shared" si="50"/>
        <v>-20256.918999999994</v>
      </c>
      <c r="G456">
        <f t="shared" si="51"/>
        <v>-9.0391155310789284E-2</v>
      </c>
      <c r="H456">
        <f t="shared" si="52"/>
        <v>-3.4119789455954219</v>
      </c>
      <c r="I456">
        <f t="shared" si="53"/>
        <v>41.158802004379318</v>
      </c>
      <c r="J456" t="b">
        <f t="shared" si="54"/>
        <v>0</v>
      </c>
      <c r="K456">
        <f t="shared" si="55"/>
        <v>5937</v>
      </c>
    </row>
    <row r="457" spans="1:11" x14ac:dyDescent="0.3">
      <c r="A457" t="s">
        <v>279</v>
      </c>
      <c r="B457">
        <v>215203.5588</v>
      </c>
      <c r="C457">
        <v>234819.4474</v>
      </c>
      <c r="D457">
        <v>5706</v>
      </c>
      <c r="E457">
        <f t="shared" si="49"/>
        <v>37.715309989484751</v>
      </c>
      <c r="F457">
        <f t="shared" si="50"/>
        <v>-19615.888600000006</v>
      </c>
      <c r="G457">
        <f t="shared" si="51"/>
        <v>-9.1150391328937472E-2</v>
      </c>
      <c r="H457">
        <f t="shared" si="52"/>
        <v>-3.4377652646337182</v>
      </c>
      <c r="I457">
        <f t="shared" si="53"/>
        <v>41.15307525411847</v>
      </c>
      <c r="J457" t="b">
        <f t="shared" si="54"/>
        <v>0</v>
      </c>
      <c r="K457">
        <f t="shared" si="55"/>
        <v>5706</v>
      </c>
    </row>
    <row r="458" spans="1:11" x14ac:dyDescent="0.3">
      <c r="A458" t="s">
        <v>280</v>
      </c>
      <c r="B458">
        <v>355534.91200000001</v>
      </c>
      <c r="C458">
        <v>386988.91470000002</v>
      </c>
      <c r="D458">
        <v>9421</v>
      </c>
      <c r="E458">
        <f t="shared" si="49"/>
        <v>37.738553444432654</v>
      </c>
      <c r="F458">
        <f t="shared" si="50"/>
        <v>-31454.002700000012</v>
      </c>
      <c r="G458">
        <f t="shared" si="51"/>
        <v>-8.8469519134030949E-2</v>
      </c>
      <c r="H458">
        <f t="shared" si="52"/>
        <v>-3.3387116760428839</v>
      </c>
      <c r="I458">
        <f t="shared" si="53"/>
        <v>41.077265120475538</v>
      </c>
      <c r="J458" t="b">
        <f t="shared" si="54"/>
        <v>0</v>
      </c>
      <c r="K458">
        <f t="shared" si="55"/>
        <v>9421</v>
      </c>
    </row>
    <row r="459" spans="1:11" x14ac:dyDescent="0.3">
      <c r="A459" s="1">
        <v>42008</v>
      </c>
      <c r="B459">
        <v>498894.34389999998</v>
      </c>
      <c r="C459">
        <v>542483.8358</v>
      </c>
      <c r="D459">
        <v>13207</v>
      </c>
      <c r="E459">
        <f t="shared" si="49"/>
        <v>37.774993859317028</v>
      </c>
      <c r="F459">
        <f t="shared" si="50"/>
        <v>-43589.491900000023</v>
      </c>
      <c r="G459">
        <f t="shared" si="51"/>
        <v>-8.7372190991881121E-2</v>
      </c>
      <c r="H459">
        <f t="shared" si="52"/>
        <v>-3.3004839781933839</v>
      </c>
      <c r="I459">
        <f t="shared" si="53"/>
        <v>41.075477837510412</v>
      </c>
      <c r="J459" t="b">
        <f t="shared" si="54"/>
        <v>0</v>
      </c>
      <c r="K459">
        <f t="shared" si="55"/>
        <v>13207</v>
      </c>
    </row>
    <row r="460" spans="1:11" x14ac:dyDescent="0.3">
      <c r="A460" s="1">
        <v>42039</v>
      </c>
      <c r="B460">
        <v>715032.1899</v>
      </c>
      <c r="C460">
        <v>777522.19279999996</v>
      </c>
      <c r="D460">
        <v>18936</v>
      </c>
      <c r="E460">
        <f t="shared" si="49"/>
        <v>37.760466302281365</v>
      </c>
      <c r="F460">
        <f t="shared" si="50"/>
        <v>-62490.002899999963</v>
      </c>
      <c r="G460">
        <f t="shared" si="51"/>
        <v>-8.7394670873124511E-2</v>
      </c>
      <c r="H460">
        <f t="shared" si="52"/>
        <v>-3.3000635245035923</v>
      </c>
      <c r="I460">
        <f t="shared" si="53"/>
        <v>41.060529826784958</v>
      </c>
      <c r="J460" t="b">
        <f t="shared" si="54"/>
        <v>0</v>
      </c>
      <c r="K460">
        <f t="shared" si="55"/>
        <v>18936</v>
      </c>
    </row>
    <row r="461" spans="1:11" x14ac:dyDescent="0.3">
      <c r="A461" s="1">
        <v>42067</v>
      </c>
      <c r="B461">
        <v>510289.2156</v>
      </c>
      <c r="C461">
        <v>554159.81940000004</v>
      </c>
      <c r="D461">
        <v>13503</v>
      </c>
      <c r="E461">
        <f t="shared" si="49"/>
        <v>37.790803199289044</v>
      </c>
      <c r="F461">
        <f t="shared" si="50"/>
        <v>-43870.603800000041</v>
      </c>
      <c r="G461">
        <f t="shared" si="51"/>
        <v>-8.5972037932286735E-2</v>
      </c>
      <c r="H461">
        <f t="shared" si="52"/>
        <v>-3.2489523661408626</v>
      </c>
      <c r="I461">
        <f t="shared" si="53"/>
        <v>41.039755565429907</v>
      </c>
      <c r="J461" t="b">
        <f t="shared" si="54"/>
        <v>0</v>
      </c>
      <c r="K461">
        <f t="shared" si="55"/>
        <v>13503</v>
      </c>
    </row>
    <row r="462" spans="1:11" x14ac:dyDescent="0.3">
      <c r="A462" s="1">
        <v>42098</v>
      </c>
      <c r="B462">
        <v>400302.03950000001</v>
      </c>
      <c r="C462">
        <v>434872.72889999999</v>
      </c>
      <c r="D462">
        <v>10600</v>
      </c>
      <c r="E462">
        <f t="shared" si="49"/>
        <v>37.764343349056603</v>
      </c>
      <c r="F462">
        <f t="shared" si="50"/>
        <v>-34570.689399999974</v>
      </c>
      <c r="G462">
        <f t="shared" si="51"/>
        <v>-8.6361512030217802E-2</v>
      </c>
      <c r="H462">
        <f t="shared" si="52"/>
        <v>-3.2613857924528276</v>
      </c>
      <c r="I462">
        <f t="shared" si="53"/>
        <v>41.02572914150943</v>
      </c>
      <c r="J462" t="b">
        <f t="shared" si="54"/>
        <v>0</v>
      </c>
      <c r="K462">
        <f t="shared" si="55"/>
        <v>10600</v>
      </c>
    </row>
    <row r="463" spans="1:11" x14ac:dyDescent="0.3">
      <c r="A463" s="1">
        <v>42128</v>
      </c>
      <c r="B463">
        <v>135578.2034</v>
      </c>
      <c r="C463">
        <v>147335.92509999999</v>
      </c>
      <c r="D463">
        <v>3591</v>
      </c>
      <c r="E463">
        <f t="shared" si="49"/>
        <v>37.75499955444166</v>
      </c>
      <c r="F463">
        <f t="shared" si="50"/>
        <v>-11757.721699999995</v>
      </c>
      <c r="G463">
        <f t="shared" si="51"/>
        <v>-8.6722802081326253E-2</v>
      </c>
      <c r="H463">
        <f t="shared" si="52"/>
        <v>-3.2742193539404028</v>
      </c>
      <c r="I463">
        <f t="shared" si="53"/>
        <v>41.029218908382063</v>
      </c>
      <c r="J463" t="b">
        <f t="shared" si="54"/>
        <v>0</v>
      </c>
      <c r="K463">
        <f t="shared" si="55"/>
        <v>3591</v>
      </c>
    </row>
    <row r="464" spans="1:11" x14ac:dyDescent="0.3">
      <c r="A464" s="1">
        <v>42159</v>
      </c>
      <c r="B464">
        <v>182466.25520000001</v>
      </c>
      <c r="C464">
        <v>198405.2291</v>
      </c>
      <c r="D464">
        <v>4836</v>
      </c>
      <c r="E464">
        <f t="shared" si="49"/>
        <v>37.730822001654261</v>
      </c>
      <c r="F464">
        <f t="shared" si="50"/>
        <v>-15938.973899999983</v>
      </c>
      <c r="G464">
        <f t="shared" si="51"/>
        <v>-8.7352995119724372E-2</v>
      </c>
      <c r="H464">
        <f t="shared" si="52"/>
        <v>-3.2959003101736926</v>
      </c>
      <c r="I464">
        <f t="shared" si="53"/>
        <v>41.026722311827953</v>
      </c>
      <c r="J464" t="b">
        <f t="shared" si="54"/>
        <v>0</v>
      </c>
      <c r="K464">
        <f t="shared" si="55"/>
        <v>4836</v>
      </c>
    </row>
    <row r="465" spans="1:11" x14ac:dyDescent="0.3">
      <c r="A465" s="1">
        <v>42189</v>
      </c>
      <c r="B465">
        <v>176814.20259999999</v>
      </c>
      <c r="C465">
        <v>178390.14910000001</v>
      </c>
      <c r="D465">
        <v>4348</v>
      </c>
      <c r="E465">
        <f t="shared" si="49"/>
        <v>40.665639972401102</v>
      </c>
      <c r="F465">
        <f t="shared" si="50"/>
        <v>-1575.94650000002</v>
      </c>
      <c r="G465">
        <f t="shared" si="51"/>
        <v>-8.913008552628679E-3</v>
      </c>
      <c r="H465">
        <f t="shared" si="52"/>
        <v>-0.3624531968721314</v>
      </c>
      <c r="I465">
        <f t="shared" si="53"/>
        <v>41.028093169273234</v>
      </c>
      <c r="J465" t="b">
        <f t="shared" si="54"/>
        <v>0</v>
      </c>
      <c r="K465">
        <f t="shared" si="55"/>
        <v>4348</v>
      </c>
    </row>
    <row r="466" spans="1:11" x14ac:dyDescent="0.3">
      <c r="A466" s="1">
        <v>42220</v>
      </c>
      <c r="B466">
        <v>100917.6716</v>
      </c>
      <c r="C466">
        <v>100579.1289</v>
      </c>
      <c r="D466">
        <v>2451</v>
      </c>
      <c r="E466">
        <f t="shared" si="49"/>
        <v>41.174080620155038</v>
      </c>
      <c r="F466">
        <f t="shared" si="50"/>
        <v>338.54270000000542</v>
      </c>
      <c r="G466">
        <f t="shared" si="51"/>
        <v>3.3546423994190271E-3</v>
      </c>
      <c r="H466">
        <f t="shared" si="52"/>
        <v>0.1381243166054702</v>
      </c>
      <c r="I466">
        <f t="shared" si="53"/>
        <v>41.035956303549568</v>
      </c>
      <c r="J466" t="b">
        <f t="shared" si="54"/>
        <v>1</v>
      </c>
      <c r="K466">
        <f t="shared" si="55"/>
        <v>2451</v>
      </c>
    </row>
    <row r="467" spans="1:11" x14ac:dyDescent="0.3">
      <c r="A467" s="1">
        <v>42251</v>
      </c>
      <c r="B467">
        <v>74690.672730000006</v>
      </c>
      <c r="C467">
        <v>74427.58597</v>
      </c>
      <c r="D467">
        <v>1814</v>
      </c>
      <c r="E467">
        <f t="shared" si="49"/>
        <v>41.17457151598677</v>
      </c>
      <c r="F467">
        <f t="shared" si="50"/>
        <v>263.0867600000056</v>
      </c>
      <c r="G467">
        <f t="shared" si="51"/>
        <v>3.522350922598332E-3</v>
      </c>
      <c r="H467">
        <f t="shared" si="52"/>
        <v>0.14503128996692283</v>
      </c>
      <c r="I467">
        <f t="shared" si="53"/>
        <v>41.029540226019847</v>
      </c>
      <c r="J467" t="b">
        <f t="shared" si="54"/>
        <v>1</v>
      </c>
      <c r="K467">
        <f t="shared" si="55"/>
        <v>1814</v>
      </c>
    </row>
    <row r="468" spans="1:11" x14ac:dyDescent="0.3">
      <c r="A468" s="1">
        <v>42281</v>
      </c>
      <c r="B468">
        <v>114067.07709999999</v>
      </c>
      <c r="C468">
        <v>113653.9736</v>
      </c>
      <c r="D468">
        <v>2770</v>
      </c>
      <c r="E468">
        <f t="shared" si="49"/>
        <v>41.179450216606497</v>
      </c>
      <c r="F468">
        <f t="shared" si="50"/>
        <v>413.10349999999744</v>
      </c>
      <c r="G468">
        <f t="shared" si="51"/>
        <v>3.6215839881461945E-3</v>
      </c>
      <c r="H468">
        <f t="shared" si="52"/>
        <v>0.14913483754512669</v>
      </c>
      <c r="I468">
        <f t="shared" si="53"/>
        <v>41.030315379061371</v>
      </c>
      <c r="J468" t="b">
        <f t="shared" si="54"/>
        <v>1</v>
      </c>
      <c r="K468">
        <f t="shared" si="55"/>
        <v>2770</v>
      </c>
    </row>
    <row r="469" spans="1:11" x14ac:dyDescent="0.3">
      <c r="A469" s="1">
        <v>42312</v>
      </c>
      <c r="B469">
        <v>126507.8009</v>
      </c>
      <c r="C469">
        <v>126043.7692</v>
      </c>
      <c r="D469">
        <v>3072</v>
      </c>
      <c r="E469">
        <f t="shared" si="49"/>
        <v>41.18092477213542</v>
      </c>
      <c r="F469">
        <f t="shared" si="50"/>
        <v>464.03170000000682</v>
      </c>
      <c r="G469">
        <f t="shared" si="51"/>
        <v>3.6680085868128218E-3</v>
      </c>
      <c r="H469">
        <f t="shared" si="52"/>
        <v>0.15105198567708555</v>
      </c>
      <c r="I469">
        <f t="shared" si="53"/>
        <v>41.029872786458334</v>
      </c>
      <c r="J469" t="b">
        <f t="shared" si="54"/>
        <v>1</v>
      </c>
      <c r="K469">
        <f t="shared" si="55"/>
        <v>3072</v>
      </c>
    </row>
    <row r="470" spans="1:11" x14ac:dyDescent="0.3">
      <c r="A470" s="1">
        <v>42342</v>
      </c>
      <c r="B470">
        <v>79648.629390000002</v>
      </c>
      <c r="C470">
        <v>79349.402449999994</v>
      </c>
      <c r="D470">
        <v>1934</v>
      </c>
      <c r="E470">
        <f t="shared" si="49"/>
        <v>41.183365765253363</v>
      </c>
      <c r="F470">
        <f t="shared" si="50"/>
        <v>299.22694000000774</v>
      </c>
      <c r="G470">
        <f t="shared" si="51"/>
        <v>3.7568372775737447E-3</v>
      </c>
      <c r="H470">
        <f t="shared" si="52"/>
        <v>0.15471920372286263</v>
      </c>
      <c r="I470">
        <f t="shared" si="53"/>
        <v>41.0286465615305</v>
      </c>
      <c r="J470" t="b">
        <f t="shared" si="54"/>
        <v>1</v>
      </c>
      <c r="K470">
        <f t="shared" si="55"/>
        <v>1934</v>
      </c>
    </row>
    <row r="471" spans="1:11" x14ac:dyDescent="0.3">
      <c r="A471" t="s">
        <v>281</v>
      </c>
      <c r="B471">
        <v>83137.432430000001</v>
      </c>
      <c r="C471">
        <v>82700.354170000006</v>
      </c>
      <c r="D471">
        <v>2019</v>
      </c>
      <c r="E471">
        <f t="shared" si="49"/>
        <v>41.177529683011393</v>
      </c>
      <c r="F471">
        <f t="shared" si="50"/>
        <v>437.07825999999477</v>
      </c>
      <c r="G471">
        <f t="shared" si="51"/>
        <v>5.2572980332055074E-3</v>
      </c>
      <c r="H471">
        <f t="shared" si="52"/>
        <v>0.21648254581475612</v>
      </c>
      <c r="I471">
        <f t="shared" si="53"/>
        <v>40.961047137196637</v>
      </c>
      <c r="J471" t="b">
        <f t="shared" si="54"/>
        <v>1</v>
      </c>
      <c r="K471">
        <f t="shared" si="55"/>
        <v>2019</v>
      </c>
    </row>
    <row r="472" spans="1:11" x14ac:dyDescent="0.3">
      <c r="A472" t="s">
        <v>282</v>
      </c>
      <c r="B472">
        <v>40776.02706</v>
      </c>
      <c r="C472">
        <v>39940.19958</v>
      </c>
      <c r="D472">
        <v>979</v>
      </c>
      <c r="E472">
        <f t="shared" si="49"/>
        <v>41.650691583248211</v>
      </c>
      <c r="F472">
        <f t="shared" si="50"/>
        <v>835.82747999999992</v>
      </c>
      <c r="G472">
        <f t="shared" si="51"/>
        <v>2.0498011705998704E-2</v>
      </c>
      <c r="H472">
        <f t="shared" si="52"/>
        <v>0.85375636363636431</v>
      </c>
      <c r="I472">
        <f t="shared" si="53"/>
        <v>40.796935219611846</v>
      </c>
      <c r="J472" t="b">
        <f t="shared" si="54"/>
        <v>1</v>
      </c>
      <c r="K472">
        <f t="shared" si="55"/>
        <v>979</v>
      </c>
    </row>
    <row r="473" spans="1:11" x14ac:dyDescent="0.3">
      <c r="A473" t="s">
        <v>283</v>
      </c>
      <c r="B473">
        <v>58278.457929999997</v>
      </c>
      <c r="C473">
        <v>56969.922590000002</v>
      </c>
      <c r="D473">
        <v>1398</v>
      </c>
      <c r="E473">
        <f t="shared" si="49"/>
        <v>41.687022839771096</v>
      </c>
      <c r="F473">
        <f t="shared" si="50"/>
        <v>1308.5353399999949</v>
      </c>
      <c r="G473">
        <f t="shared" si="51"/>
        <v>2.2453156560383186E-2</v>
      </c>
      <c r="H473">
        <f t="shared" si="52"/>
        <v>0.93600525035764548</v>
      </c>
      <c r="I473">
        <f t="shared" si="53"/>
        <v>40.751017589413451</v>
      </c>
      <c r="J473" t="b">
        <f t="shared" si="54"/>
        <v>1</v>
      </c>
      <c r="K473">
        <f t="shared" si="55"/>
        <v>1398</v>
      </c>
    </row>
    <row r="474" spans="1:11" x14ac:dyDescent="0.3">
      <c r="A474" t="s">
        <v>284</v>
      </c>
      <c r="B474">
        <v>50000.101439999999</v>
      </c>
      <c r="C474">
        <v>48827.88538</v>
      </c>
      <c r="D474">
        <v>1198</v>
      </c>
      <c r="E474">
        <f t="shared" si="49"/>
        <v>41.736311719532551</v>
      </c>
      <c r="F474">
        <f t="shared" si="50"/>
        <v>1172.2160599999988</v>
      </c>
      <c r="G474">
        <f t="shared" si="51"/>
        <v>2.3444273636257625E-2</v>
      </c>
      <c r="H474">
        <f t="shared" si="52"/>
        <v>0.97847751252086823</v>
      </c>
      <c r="I474">
        <f t="shared" si="53"/>
        <v>40.757834207011683</v>
      </c>
      <c r="J474" t="b">
        <f t="shared" si="54"/>
        <v>1</v>
      </c>
      <c r="K474">
        <f t="shared" si="55"/>
        <v>1198</v>
      </c>
    </row>
    <row r="475" spans="1:11" x14ac:dyDescent="0.3">
      <c r="A475" t="s">
        <v>285</v>
      </c>
      <c r="B475">
        <v>103911.9191</v>
      </c>
      <c r="C475">
        <v>101408.94960000001</v>
      </c>
      <c r="D475">
        <v>2485</v>
      </c>
      <c r="E475">
        <f t="shared" si="49"/>
        <v>41.815661609657944</v>
      </c>
      <c r="F475">
        <f t="shared" si="50"/>
        <v>2502.969499999992</v>
      </c>
      <c r="G475">
        <f t="shared" si="51"/>
        <v>2.4087414818999259E-2</v>
      </c>
      <c r="H475">
        <f t="shared" si="52"/>
        <v>1.0072311871227271</v>
      </c>
      <c r="I475">
        <f t="shared" si="53"/>
        <v>40.808430422535217</v>
      </c>
      <c r="J475" t="b">
        <f t="shared" si="54"/>
        <v>1</v>
      </c>
      <c r="K475">
        <f t="shared" si="55"/>
        <v>2485</v>
      </c>
    </row>
    <row r="476" spans="1:11" x14ac:dyDescent="0.3">
      <c r="A476" t="s">
        <v>286</v>
      </c>
      <c r="B476">
        <v>132843.22260000001</v>
      </c>
      <c r="C476">
        <v>129545.5321</v>
      </c>
      <c r="D476">
        <v>3172</v>
      </c>
      <c r="E476">
        <f t="shared" si="49"/>
        <v>41.879956683480458</v>
      </c>
      <c r="F476">
        <f t="shared" si="50"/>
        <v>3297.6905000000115</v>
      </c>
      <c r="G476">
        <f t="shared" si="51"/>
        <v>2.4823927299095883E-2</v>
      </c>
      <c r="H476">
        <f t="shared" si="52"/>
        <v>1.039625000000008</v>
      </c>
      <c r="I476">
        <f t="shared" si="53"/>
        <v>40.84033168348045</v>
      </c>
      <c r="J476" t="b">
        <f t="shared" si="54"/>
        <v>1</v>
      </c>
      <c r="K476">
        <f t="shared" si="55"/>
        <v>3172</v>
      </c>
    </row>
    <row r="477" spans="1:11" x14ac:dyDescent="0.3">
      <c r="A477" t="s">
        <v>287</v>
      </c>
      <c r="B477">
        <v>62786.611279999997</v>
      </c>
      <c r="C477">
        <v>61213.25591</v>
      </c>
      <c r="D477">
        <v>1497</v>
      </c>
      <c r="E477">
        <f t="shared" si="49"/>
        <v>41.941624101536405</v>
      </c>
      <c r="F477">
        <f t="shared" si="50"/>
        <v>1573.3553699999975</v>
      </c>
      <c r="G477">
        <f t="shared" si="51"/>
        <v>2.5058771893000268E-2</v>
      </c>
      <c r="H477">
        <f t="shared" si="52"/>
        <v>1.051005591182367</v>
      </c>
      <c r="I477">
        <f t="shared" si="53"/>
        <v>40.890618510354038</v>
      </c>
      <c r="J477" t="b">
        <f t="shared" si="54"/>
        <v>1</v>
      </c>
      <c r="K477">
        <f t="shared" si="55"/>
        <v>1497</v>
      </c>
    </row>
    <row r="478" spans="1:11" x14ac:dyDescent="0.3">
      <c r="A478" t="s">
        <v>288</v>
      </c>
      <c r="B478">
        <v>57233.406640000001</v>
      </c>
      <c r="C478">
        <v>55706.87543</v>
      </c>
      <c r="D478">
        <v>1365</v>
      </c>
      <c r="E478">
        <f t="shared" si="49"/>
        <v>41.929235633699633</v>
      </c>
      <c r="F478">
        <f t="shared" si="50"/>
        <v>1526.531210000001</v>
      </c>
      <c r="G478">
        <f t="shared" si="51"/>
        <v>2.6672031242206712E-2</v>
      </c>
      <c r="H478">
        <f t="shared" si="52"/>
        <v>1.1183378827838837</v>
      </c>
      <c r="I478">
        <f t="shared" si="53"/>
        <v>40.81089775091575</v>
      </c>
      <c r="J478" t="b">
        <f t="shared" si="54"/>
        <v>1</v>
      </c>
      <c r="K478">
        <f t="shared" si="55"/>
        <v>1365</v>
      </c>
    </row>
    <row r="479" spans="1:11" x14ac:dyDescent="0.3">
      <c r="A479" t="s">
        <v>289</v>
      </c>
      <c r="B479">
        <v>56874.345459999997</v>
      </c>
      <c r="C479">
        <v>55172.17123</v>
      </c>
      <c r="D479">
        <v>1353</v>
      </c>
      <c r="E479">
        <f t="shared" si="49"/>
        <v>42.03573204730229</v>
      </c>
      <c r="F479">
        <f t="shared" si="50"/>
        <v>1702.1742299999969</v>
      </c>
      <c r="G479">
        <f t="shared" si="51"/>
        <v>2.9928682541008656E-2</v>
      </c>
      <c r="H479">
        <f t="shared" si="52"/>
        <v>1.2580740798226131</v>
      </c>
      <c r="I479">
        <f t="shared" si="53"/>
        <v>40.777657967479676</v>
      </c>
      <c r="J479" t="b">
        <f t="shared" si="54"/>
        <v>1</v>
      </c>
      <c r="K479">
        <f t="shared" si="55"/>
        <v>1353</v>
      </c>
    </row>
    <row r="480" spans="1:11" x14ac:dyDescent="0.3">
      <c r="A480" t="s">
        <v>290</v>
      </c>
      <c r="B480">
        <v>132737.73699999999</v>
      </c>
      <c r="C480">
        <v>140263.9301</v>
      </c>
      <c r="D480">
        <v>3439</v>
      </c>
      <c r="E480">
        <f t="shared" si="49"/>
        <v>38.597771735969758</v>
      </c>
      <c r="F480">
        <f t="shared" si="50"/>
        <v>-7526.1931000000041</v>
      </c>
      <c r="G480">
        <f t="shared" si="51"/>
        <v>-5.6699724359471369E-2</v>
      </c>
      <c r="H480">
        <f t="shared" si="52"/>
        <v>-2.1884830183192818</v>
      </c>
      <c r="I480">
        <f t="shared" si="53"/>
        <v>40.78625475428904</v>
      </c>
      <c r="J480" t="b">
        <f t="shared" si="54"/>
        <v>0</v>
      </c>
      <c r="K480">
        <f t="shared" si="55"/>
        <v>3439</v>
      </c>
    </row>
    <row r="481" spans="1:11" x14ac:dyDescent="0.3">
      <c r="A481" t="s">
        <v>291</v>
      </c>
      <c r="B481">
        <v>60310.338949999998</v>
      </c>
      <c r="C481">
        <v>58446.054929999998</v>
      </c>
      <c r="D481">
        <v>1434</v>
      </c>
      <c r="E481">
        <f t="shared" si="49"/>
        <v>42.057419072524404</v>
      </c>
      <c r="F481">
        <f t="shared" si="50"/>
        <v>1864.2840199999991</v>
      </c>
      <c r="G481">
        <f t="shared" si="51"/>
        <v>3.091151620861516E-2</v>
      </c>
      <c r="H481">
        <f t="shared" si="52"/>
        <v>1.3000585913528582</v>
      </c>
      <c r="I481">
        <f t="shared" si="53"/>
        <v>40.757360481171546</v>
      </c>
      <c r="J481" t="b">
        <f t="shared" si="54"/>
        <v>1</v>
      </c>
      <c r="K481">
        <f t="shared" si="55"/>
        <v>1434</v>
      </c>
    </row>
    <row r="482" spans="1:11" x14ac:dyDescent="0.3">
      <c r="A482" t="s">
        <v>292</v>
      </c>
      <c r="B482">
        <v>343587.0085</v>
      </c>
      <c r="C482">
        <v>362390.59600000002</v>
      </c>
      <c r="D482">
        <v>8892</v>
      </c>
      <c r="E482">
        <f t="shared" si="49"/>
        <v>38.64001445119208</v>
      </c>
      <c r="F482">
        <f t="shared" si="50"/>
        <v>-18803.587500000023</v>
      </c>
      <c r="G482">
        <f t="shared" si="51"/>
        <v>-5.4727294789436207E-2</v>
      </c>
      <c r="H482">
        <f t="shared" si="52"/>
        <v>-2.1146634615384698</v>
      </c>
      <c r="I482">
        <f t="shared" si="53"/>
        <v>40.75467791273055</v>
      </c>
      <c r="J482" t="b">
        <f t="shared" si="54"/>
        <v>0</v>
      </c>
      <c r="K482">
        <f t="shared" si="55"/>
        <v>8892</v>
      </c>
    </row>
    <row r="483" spans="1:11" x14ac:dyDescent="0.3">
      <c r="A483" t="s">
        <v>293</v>
      </c>
      <c r="B483">
        <v>496882.315</v>
      </c>
      <c r="C483">
        <v>535306.00989999995</v>
      </c>
      <c r="D483">
        <v>13144</v>
      </c>
      <c r="E483">
        <f t="shared" si="49"/>
        <v>37.802975882531953</v>
      </c>
      <c r="F483">
        <f t="shared" si="50"/>
        <v>-38423.694899999944</v>
      </c>
      <c r="G483">
        <f t="shared" si="51"/>
        <v>-7.7329568270104246E-2</v>
      </c>
      <c r="H483">
        <f t="shared" si="52"/>
        <v>-2.9232878043213617</v>
      </c>
      <c r="I483">
        <f t="shared" si="53"/>
        <v>40.726263686853315</v>
      </c>
      <c r="J483" t="b">
        <f t="shared" si="54"/>
        <v>0</v>
      </c>
      <c r="K483">
        <f t="shared" si="55"/>
        <v>13144</v>
      </c>
    </row>
    <row r="484" spans="1:11" x14ac:dyDescent="0.3">
      <c r="A484" t="s">
        <v>294</v>
      </c>
      <c r="B484">
        <v>200369.82990000001</v>
      </c>
      <c r="C484">
        <v>210964.76809999999</v>
      </c>
      <c r="D484">
        <v>5179</v>
      </c>
      <c r="E484">
        <f t="shared" si="49"/>
        <v>38.688903243869476</v>
      </c>
      <c r="F484">
        <f t="shared" si="50"/>
        <v>-10594.938199999975</v>
      </c>
      <c r="G484">
        <f t="shared" si="51"/>
        <v>-5.2876913681504177E-2</v>
      </c>
      <c r="H484">
        <f t="shared" si="52"/>
        <v>-2.0457497972581535</v>
      </c>
      <c r="I484">
        <f t="shared" si="53"/>
        <v>40.734653041127629</v>
      </c>
      <c r="J484" t="b">
        <f t="shared" si="54"/>
        <v>0</v>
      </c>
      <c r="K484">
        <f t="shared" si="55"/>
        <v>5179</v>
      </c>
    </row>
    <row r="485" spans="1:11" x14ac:dyDescent="0.3">
      <c r="A485" t="s">
        <v>295</v>
      </c>
      <c r="B485">
        <v>194028.0618</v>
      </c>
      <c r="C485">
        <v>204053.49890000001</v>
      </c>
      <c r="D485">
        <v>5014</v>
      </c>
      <c r="E485">
        <f t="shared" si="49"/>
        <v>38.697260031910652</v>
      </c>
      <c r="F485">
        <f t="shared" si="50"/>
        <v>-10025.43710000001</v>
      </c>
      <c r="G485">
        <f t="shared" si="51"/>
        <v>-5.1670036833816428E-2</v>
      </c>
      <c r="H485">
        <f t="shared" si="52"/>
        <v>-1.99948885121659</v>
      </c>
      <c r="I485">
        <f t="shared" si="53"/>
        <v>40.696748883127242</v>
      </c>
      <c r="J485" t="b">
        <f t="shared" si="54"/>
        <v>0</v>
      </c>
      <c r="K485">
        <f t="shared" si="55"/>
        <v>5014</v>
      </c>
    </row>
    <row r="486" spans="1:11" x14ac:dyDescent="0.3">
      <c r="A486" t="s">
        <v>296</v>
      </c>
      <c r="B486">
        <v>190560.57920000001</v>
      </c>
      <c r="C486">
        <v>200804.0368</v>
      </c>
      <c r="D486">
        <v>4936</v>
      </c>
      <c r="E486">
        <f t="shared" si="49"/>
        <v>38.60627617504052</v>
      </c>
      <c r="F486">
        <f t="shared" si="50"/>
        <v>-10243.457599999994</v>
      </c>
      <c r="G486">
        <f t="shared" si="51"/>
        <v>-5.3754337035516284E-2</v>
      </c>
      <c r="H486">
        <f t="shared" si="52"/>
        <v>-2.075254781199348</v>
      </c>
      <c r="I486">
        <f t="shared" si="53"/>
        <v>40.681530956239868</v>
      </c>
      <c r="J486" t="b">
        <f t="shared" si="54"/>
        <v>0</v>
      </c>
      <c r="K486">
        <f t="shared" si="55"/>
        <v>4936</v>
      </c>
    </row>
    <row r="487" spans="1:11" x14ac:dyDescent="0.3">
      <c r="A487" t="s">
        <v>297</v>
      </c>
      <c r="B487">
        <v>198985.3996</v>
      </c>
      <c r="C487">
        <v>209483.87580000001</v>
      </c>
      <c r="D487">
        <v>5150</v>
      </c>
      <c r="E487">
        <f t="shared" si="49"/>
        <v>38.637941669902915</v>
      </c>
      <c r="F487">
        <f t="shared" si="50"/>
        <v>-10498.476200000005</v>
      </c>
      <c r="G487">
        <f t="shared" si="51"/>
        <v>-5.2760032751669309E-2</v>
      </c>
      <c r="H487">
        <f t="shared" si="52"/>
        <v>-2.0385390679611675</v>
      </c>
      <c r="I487">
        <f t="shared" si="53"/>
        <v>40.676480737864082</v>
      </c>
      <c r="J487" t="b">
        <f t="shared" si="54"/>
        <v>0</v>
      </c>
      <c r="K487">
        <f t="shared" si="55"/>
        <v>5150</v>
      </c>
    </row>
    <row r="488" spans="1:11" x14ac:dyDescent="0.3">
      <c r="A488" t="s">
        <v>298</v>
      </c>
      <c r="B488">
        <v>385482.87199999997</v>
      </c>
      <c r="C488">
        <v>406252.00760000001</v>
      </c>
      <c r="D488">
        <v>9986</v>
      </c>
      <c r="E488">
        <f t="shared" si="49"/>
        <v>38.602330462647707</v>
      </c>
      <c r="F488">
        <f t="shared" si="50"/>
        <v>-20769.135600000038</v>
      </c>
      <c r="G488">
        <f t="shared" si="51"/>
        <v>-5.3878231974986528E-2</v>
      </c>
      <c r="H488">
        <f t="shared" si="52"/>
        <v>-2.0798253154416173</v>
      </c>
      <c r="I488">
        <f t="shared" si="53"/>
        <v>40.682155778089324</v>
      </c>
      <c r="J488" t="b">
        <f t="shared" si="54"/>
        <v>0</v>
      </c>
      <c r="K488">
        <f t="shared" si="55"/>
        <v>9986</v>
      </c>
    </row>
    <row r="489" spans="1:11" x14ac:dyDescent="0.3">
      <c r="A489" s="1">
        <v>42009</v>
      </c>
      <c r="B489">
        <v>499703.41470000002</v>
      </c>
      <c r="C489">
        <v>526206.93720000004</v>
      </c>
      <c r="D489">
        <v>12937</v>
      </c>
      <c r="E489">
        <f t="shared" si="49"/>
        <v>38.62591131637938</v>
      </c>
      <c r="F489">
        <f t="shared" si="50"/>
        <v>-26503.522500000021</v>
      </c>
      <c r="G489">
        <f t="shared" si="51"/>
        <v>-5.3038505882357381E-2</v>
      </c>
      <c r="H489">
        <f t="shared" si="52"/>
        <v>-2.0486606245652013</v>
      </c>
      <c r="I489">
        <f t="shared" si="53"/>
        <v>40.674571940944581</v>
      </c>
      <c r="J489" t="b">
        <f t="shared" si="54"/>
        <v>0</v>
      </c>
      <c r="K489">
        <f t="shared" si="55"/>
        <v>12937</v>
      </c>
    </row>
    <row r="490" spans="1:11" x14ac:dyDescent="0.3">
      <c r="A490" s="1">
        <v>42040</v>
      </c>
      <c r="B490">
        <v>461667.00390000001</v>
      </c>
      <c r="C490">
        <v>496852.80200000003</v>
      </c>
      <c r="D490">
        <v>12217</v>
      </c>
      <c r="E490">
        <f t="shared" si="49"/>
        <v>37.788901031349759</v>
      </c>
      <c r="F490">
        <f t="shared" si="50"/>
        <v>-35185.798100000015</v>
      </c>
      <c r="G490">
        <f t="shared" si="51"/>
        <v>-7.6214669453876505E-2</v>
      </c>
      <c r="H490">
        <f t="shared" si="52"/>
        <v>-2.8800686011295724</v>
      </c>
      <c r="I490">
        <f t="shared" si="53"/>
        <v>40.668969632479332</v>
      </c>
      <c r="J490" t="b">
        <f t="shared" si="54"/>
        <v>0</v>
      </c>
      <c r="K490">
        <f t="shared" si="55"/>
        <v>12217</v>
      </c>
    </row>
    <row r="491" spans="1:11" x14ac:dyDescent="0.3">
      <c r="A491" s="1">
        <v>42068</v>
      </c>
      <c r="B491">
        <v>259541.60870000001</v>
      </c>
      <c r="C491">
        <v>273280.04639999999</v>
      </c>
      <c r="D491">
        <v>6721</v>
      </c>
      <c r="E491">
        <f t="shared" si="49"/>
        <v>38.616516693944355</v>
      </c>
      <c r="F491">
        <f t="shared" si="50"/>
        <v>-13738.43769999998</v>
      </c>
      <c r="G491">
        <f t="shared" si="51"/>
        <v>-5.2933469006428258E-2</v>
      </c>
      <c r="H491">
        <f t="shared" si="52"/>
        <v>-2.0441061895551229</v>
      </c>
      <c r="I491">
        <f t="shared" si="53"/>
        <v>40.660622883499478</v>
      </c>
      <c r="J491" t="b">
        <f t="shared" si="54"/>
        <v>0</v>
      </c>
      <c r="K491">
        <f t="shared" si="55"/>
        <v>6721</v>
      </c>
    </row>
    <row r="492" spans="1:11" x14ac:dyDescent="0.3">
      <c r="A492" s="1">
        <v>42099</v>
      </c>
      <c r="B492">
        <v>320309.27439999999</v>
      </c>
      <c r="C492">
        <v>336742.60239999997</v>
      </c>
      <c r="D492">
        <v>8283</v>
      </c>
      <c r="E492">
        <f t="shared" si="49"/>
        <v>38.67068385850537</v>
      </c>
      <c r="F492">
        <f t="shared" si="50"/>
        <v>-16433.32799999998</v>
      </c>
      <c r="G492">
        <f t="shared" si="51"/>
        <v>-5.1304565035722796E-2</v>
      </c>
      <c r="H492">
        <f t="shared" si="52"/>
        <v>-1.9839826149945665</v>
      </c>
      <c r="I492">
        <f t="shared" si="53"/>
        <v>40.654666473499937</v>
      </c>
      <c r="J492" t="b">
        <f t="shared" si="54"/>
        <v>0</v>
      </c>
      <c r="K492">
        <f t="shared" si="55"/>
        <v>8283</v>
      </c>
    </row>
    <row r="493" spans="1:11" x14ac:dyDescent="0.3">
      <c r="A493" s="1">
        <v>42129</v>
      </c>
      <c r="B493">
        <v>239922.9982</v>
      </c>
      <c r="C493">
        <v>251700.9664</v>
      </c>
      <c r="D493">
        <v>6191</v>
      </c>
      <c r="E493">
        <f t="shared" si="49"/>
        <v>38.753512873526084</v>
      </c>
      <c r="F493">
        <f t="shared" si="50"/>
        <v>-11777.968200000003</v>
      </c>
      <c r="G493">
        <f t="shared" si="51"/>
        <v>-4.9090617774715697E-2</v>
      </c>
      <c r="H493">
        <f t="shared" si="52"/>
        <v>-1.9024338879017932</v>
      </c>
      <c r="I493">
        <f t="shared" si="53"/>
        <v>40.655946761427877</v>
      </c>
      <c r="J493" t="b">
        <f t="shared" si="54"/>
        <v>0</v>
      </c>
      <c r="K493">
        <f t="shared" si="55"/>
        <v>6191</v>
      </c>
    </row>
    <row r="494" spans="1:11" x14ac:dyDescent="0.3">
      <c r="A494" s="1">
        <v>42160</v>
      </c>
      <c r="B494">
        <v>224994.19510000001</v>
      </c>
      <c r="C494">
        <v>242259.85949999999</v>
      </c>
      <c r="D494">
        <v>5959</v>
      </c>
      <c r="E494">
        <f t="shared" si="49"/>
        <v>37.75703894948817</v>
      </c>
      <c r="F494">
        <f t="shared" si="50"/>
        <v>-17265.66439999998</v>
      </c>
      <c r="G494">
        <f t="shared" si="51"/>
        <v>-7.6738266035379948E-2</v>
      </c>
      <c r="H494">
        <f t="shared" si="52"/>
        <v>-2.8974096996140304</v>
      </c>
      <c r="I494">
        <f t="shared" si="53"/>
        <v>40.6544486491022</v>
      </c>
      <c r="J494" t="b">
        <f t="shared" si="54"/>
        <v>0</v>
      </c>
      <c r="K494">
        <f t="shared" si="55"/>
        <v>5959</v>
      </c>
    </row>
    <row r="495" spans="1:11" x14ac:dyDescent="0.3">
      <c r="A495" s="1">
        <v>42190</v>
      </c>
      <c r="B495">
        <v>117197.97169999999</v>
      </c>
      <c r="C495">
        <v>115769.0863</v>
      </c>
      <c r="D495">
        <v>2848</v>
      </c>
      <c r="E495">
        <f t="shared" si="49"/>
        <v>41.150973209269658</v>
      </c>
      <c r="F495">
        <f t="shared" si="50"/>
        <v>1428.8853999999992</v>
      </c>
      <c r="G495">
        <f t="shared" si="51"/>
        <v>1.2192065948526985E-2</v>
      </c>
      <c r="H495">
        <f t="shared" si="52"/>
        <v>0.5017153792134792</v>
      </c>
      <c r="I495">
        <f t="shared" si="53"/>
        <v>40.649257830056179</v>
      </c>
      <c r="J495" t="b">
        <f t="shared" si="54"/>
        <v>1</v>
      </c>
      <c r="K495">
        <f t="shared" si="55"/>
        <v>2848</v>
      </c>
    </row>
    <row r="496" spans="1:11" x14ac:dyDescent="0.3">
      <c r="A496" s="1">
        <v>42221</v>
      </c>
      <c r="B496">
        <v>330589.1998</v>
      </c>
      <c r="C496">
        <v>355565.0417</v>
      </c>
      <c r="D496">
        <v>8748</v>
      </c>
      <c r="E496">
        <f t="shared" si="49"/>
        <v>37.790260608139</v>
      </c>
      <c r="F496">
        <f t="shared" si="50"/>
        <v>-24975.841899999999</v>
      </c>
      <c r="G496">
        <f t="shared" si="51"/>
        <v>-7.5549479278542359E-2</v>
      </c>
      <c r="H496">
        <f t="shared" si="52"/>
        <v>-2.8550345107453197</v>
      </c>
      <c r="I496">
        <f t="shared" si="53"/>
        <v>40.64529511888432</v>
      </c>
      <c r="J496" t="b">
        <f t="shared" si="54"/>
        <v>0</v>
      </c>
      <c r="K496">
        <f t="shared" si="55"/>
        <v>8748</v>
      </c>
    </row>
    <row r="497" spans="1:11" x14ac:dyDescent="0.3">
      <c r="A497" s="1">
        <v>42252</v>
      </c>
      <c r="B497">
        <v>389972.11979999999</v>
      </c>
      <c r="C497">
        <v>419827.13650000002</v>
      </c>
      <c r="D497">
        <v>10329</v>
      </c>
      <c r="E497">
        <f t="shared" si="49"/>
        <v>37.755070171362185</v>
      </c>
      <c r="F497">
        <f t="shared" si="50"/>
        <v>-29855.016700000037</v>
      </c>
      <c r="G497">
        <f t="shared" si="51"/>
        <v>-7.6556797740595914E-2</v>
      </c>
      <c r="H497">
        <f t="shared" si="52"/>
        <v>-2.8904072707909805</v>
      </c>
      <c r="I497">
        <f t="shared" si="53"/>
        <v>40.645477442153165</v>
      </c>
      <c r="J497" t="b">
        <f t="shared" si="54"/>
        <v>0</v>
      </c>
      <c r="K497">
        <f t="shared" si="55"/>
        <v>10329</v>
      </c>
    </row>
    <row r="498" spans="1:11" x14ac:dyDescent="0.3">
      <c r="A498" s="1">
        <v>42282</v>
      </c>
      <c r="B498">
        <v>166536.00030000001</v>
      </c>
      <c r="C498">
        <v>179243.05179999999</v>
      </c>
      <c r="D498">
        <v>4410</v>
      </c>
      <c r="E498">
        <f t="shared" si="49"/>
        <v>37.763265374149661</v>
      </c>
      <c r="F498">
        <f t="shared" si="50"/>
        <v>-12707.051499999972</v>
      </c>
      <c r="G498">
        <f t="shared" si="51"/>
        <v>-7.6302129732366164E-2</v>
      </c>
      <c r="H498">
        <f t="shared" si="52"/>
        <v>-2.8814175736961403</v>
      </c>
      <c r="I498">
        <f t="shared" si="53"/>
        <v>40.644682947845801</v>
      </c>
      <c r="J498" t="b">
        <f t="shared" si="54"/>
        <v>0</v>
      </c>
      <c r="K498">
        <f t="shared" si="55"/>
        <v>4410</v>
      </c>
    </row>
    <row r="499" spans="1:11" x14ac:dyDescent="0.3">
      <c r="A499" s="1">
        <v>42313</v>
      </c>
      <c r="B499">
        <v>198442.91269999999</v>
      </c>
      <c r="C499">
        <v>213676.4284</v>
      </c>
      <c r="D499">
        <v>5257</v>
      </c>
      <c r="E499">
        <f t="shared" si="49"/>
        <v>37.748318946167011</v>
      </c>
      <c r="F499">
        <f t="shared" si="50"/>
        <v>-15233.515700000018</v>
      </c>
      <c r="G499">
        <f t="shared" si="51"/>
        <v>-7.6765229318265391E-2</v>
      </c>
      <c r="H499">
        <f t="shared" si="52"/>
        <v>-2.8977583602815358</v>
      </c>
      <c r="I499">
        <f t="shared" si="53"/>
        <v>40.646077306448547</v>
      </c>
      <c r="J499" t="b">
        <f t="shared" si="54"/>
        <v>0</v>
      </c>
      <c r="K499">
        <f t="shared" si="55"/>
        <v>5257</v>
      </c>
    </row>
    <row r="500" spans="1:11" x14ac:dyDescent="0.3">
      <c r="A500" s="1">
        <v>42343</v>
      </c>
      <c r="B500">
        <v>193182.15059999999</v>
      </c>
      <c r="C500">
        <v>208039.1734</v>
      </c>
      <c r="D500">
        <v>5118</v>
      </c>
      <c r="E500">
        <f t="shared" si="49"/>
        <v>37.74563317702227</v>
      </c>
      <c r="F500">
        <f t="shared" si="50"/>
        <v>-14857.022800000006</v>
      </c>
      <c r="G500">
        <f t="shared" si="51"/>
        <v>-7.6906809215323058E-2</v>
      </c>
      <c r="H500">
        <f t="shared" si="52"/>
        <v>-2.90289620945682</v>
      </c>
      <c r="I500">
        <f t="shared" si="53"/>
        <v>40.64852938647909</v>
      </c>
      <c r="J500" t="b">
        <f t="shared" si="54"/>
        <v>0</v>
      </c>
      <c r="K500">
        <f t="shared" si="55"/>
        <v>5118</v>
      </c>
    </row>
    <row r="501" spans="1:11" x14ac:dyDescent="0.3">
      <c r="A501" t="s">
        <v>299</v>
      </c>
      <c r="B501">
        <v>166403.12700000001</v>
      </c>
      <c r="C501">
        <v>179221.5723</v>
      </c>
      <c r="D501">
        <v>4410</v>
      </c>
      <c r="E501">
        <f t="shared" si="49"/>
        <v>37.733135374149661</v>
      </c>
      <c r="F501">
        <f t="shared" si="50"/>
        <v>-12818.445299999992</v>
      </c>
      <c r="G501">
        <f t="shared" si="51"/>
        <v>-7.7032478482210204E-2</v>
      </c>
      <c r="H501">
        <f t="shared" si="52"/>
        <v>-2.9066769387755116</v>
      </c>
      <c r="I501">
        <f t="shared" si="53"/>
        <v>40.639812312925173</v>
      </c>
      <c r="J501" t="b">
        <f t="shared" si="54"/>
        <v>0</v>
      </c>
      <c r="K501">
        <f t="shared" si="55"/>
        <v>4410</v>
      </c>
    </row>
    <row r="502" spans="1:11" x14ac:dyDescent="0.3">
      <c r="A502" t="s">
        <v>300</v>
      </c>
      <c r="B502">
        <v>149178.60149999999</v>
      </c>
      <c r="C502">
        <v>160620.2071</v>
      </c>
      <c r="D502">
        <v>3952</v>
      </c>
      <c r="E502">
        <f t="shared" si="49"/>
        <v>37.747621837044534</v>
      </c>
      <c r="F502">
        <f t="shared" si="50"/>
        <v>-11441.60560000001</v>
      </c>
      <c r="G502">
        <f t="shared" si="51"/>
        <v>-7.6697364668618442E-2</v>
      </c>
      <c r="H502">
        <f t="shared" si="52"/>
        <v>-2.8951431174089066</v>
      </c>
      <c r="I502">
        <f t="shared" si="53"/>
        <v>40.64276495445344</v>
      </c>
      <c r="J502" t="b">
        <f t="shared" si="54"/>
        <v>0</v>
      </c>
      <c r="K502">
        <f t="shared" si="55"/>
        <v>3952</v>
      </c>
    </row>
    <row r="503" spans="1:11" x14ac:dyDescent="0.3">
      <c r="A503" t="s">
        <v>301</v>
      </c>
      <c r="B503">
        <v>380592.57760000002</v>
      </c>
      <c r="C503">
        <v>409812.4327</v>
      </c>
      <c r="D503">
        <v>10084</v>
      </c>
      <c r="E503">
        <f t="shared" si="49"/>
        <v>37.742223086076955</v>
      </c>
      <c r="F503">
        <f t="shared" si="50"/>
        <v>-29219.855099999986</v>
      </c>
      <c r="G503">
        <f t="shared" si="51"/>
        <v>-7.6774632033706755E-2</v>
      </c>
      <c r="H503">
        <f t="shared" si="52"/>
        <v>-2.8976452895676346</v>
      </c>
      <c r="I503">
        <f t="shared" si="53"/>
        <v>40.639868375644589</v>
      </c>
      <c r="J503" t="b">
        <f t="shared" si="54"/>
        <v>0</v>
      </c>
      <c r="K503">
        <f t="shared" si="55"/>
        <v>10084</v>
      </c>
    </row>
    <row r="504" spans="1:11" x14ac:dyDescent="0.3">
      <c r="A504" t="s">
        <v>302</v>
      </c>
      <c r="B504">
        <v>413700.1789</v>
      </c>
      <c r="C504">
        <v>445569.71909999999</v>
      </c>
      <c r="D504">
        <v>10964</v>
      </c>
      <c r="E504">
        <f t="shared" si="49"/>
        <v>37.732595667639551</v>
      </c>
      <c r="F504">
        <f t="shared" si="50"/>
        <v>-31869.540199999989</v>
      </c>
      <c r="G504">
        <f t="shared" si="51"/>
        <v>-7.7035355132644326E-2</v>
      </c>
      <c r="H504">
        <f t="shared" si="52"/>
        <v>-2.9067439073330874</v>
      </c>
      <c r="I504">
        <f t="shared" si="53"/>
        <v>40.639339574972638</v>
      </c>
      <c r="J504" t="b">
        <f t="shared" si="54"/>
        <v>0</v>
      </c>
      <c r="K504">
        <f t="shared" si="55"/>
        <v>10964</v>
      </c>
    </row>
    <row r="505" spans="1:11" x14ac:dyDescent="0.3">
      <c r="A505" t="s">
        <v>303</v>
      </c>
      <c r="B505">
        <v>177159.67310000001</v>
      </c>
      <c r="C505">
        <v>190811.5779</v>
      </c>
      <c r="D505">
        <v>4695</v>
      </c>
      <c r="E505">
        <f t="shared" si="49"/>
        <v>37.733689691160812</v>
      </c>
      <c r="F505">
        <f t="shared" si="50"/>
        <v>-13651.904799999989</v>
      </c>
      <c r="G505">
        <f t="shared" si="51"/>
        <v>-7.7059889314053998E-2</v>
      </c>
      <c r="H505">
        <f t="shared" si="52"/>
        <v>-2.9077539510117134</v>
      </c>
      <c r="I505">
        <f t="shared" si="53"/>
        <v>40.641443642172526</v>
      </c>
      <c r="J505" t="b">
        <f t="shared" si="54"/>
        <v>0</v>
      </c>
      <c r="K505">
        <f t="shared" si="55"/>
        <v>4695</v>
      </c>
    </row>
    <row r="506" spans="1:11" x14ac:dyDescent="0.3">
      <c r="A506" t="s">
        <v>304</v>
      </c>
      <c r="B506">
        <v>196420.7635</v>
      </c>
      <c r="C506">
        <v>211510.7861</v>
      </c>
      <c r="D506">
        <v>5205</v>
      </c>
      <c r="E506">
        <f t="shared" si="49"/>
        <v>37.736938232468781</v>
      </c>
      <c r="F506">
        <f t="shared" si="50"/>
        <v>-15090.022599999997</v>
      </c>
      <c r="G506">
        <f t="shared" si="51"/>
        <v>-7.6824986987691843E-2</v>
      </c>
      <c r="H506">
        <f t="shared" si="52"/>
        <v>-2.8991397886647476</v>
      </c>
      <c r="I506">
        <f t="shared" si="53"/>
        <v>40.636078021133528</v>
      </c>
      <c r="J506" t="b">
        <f t="shared" si="54"/>
        <v>0</v>
      </c>
      <c r="K506">
        <f t="shared" si="55"/>
        <v>5205</v>
      </c>
    </row>
    <row r="507" spans="1:11" x14ac:dyDescent="0.3">
      <c r="A507" t="s">
        <v>305</v>
      </c>
      <c r="B507">
        <v>137940.87220000001</v>
      </c>
      <c r="C507">
        <v>147846.05220000001</v>
      </c>
      <c r="D507">
        <v>3638</v>
      </c>
      <c r="E507">
        <f t="shared" si="49"/>
        <v>37.916677350192415</v>
      </c>
      <c r="F507">
        <f t="shared" si="50"/>
        <v>-9905.179999999993</v>
      </c>
      <c r="G507">
        <f t="shared" si="51"/>
        <v>-7.1807433446110916E-2</v>
      </c>
      <c r="H507">
        <f t="shared" si="52"/>
        <v>-2.7226992853216032</v>
      </c>
      <c r="I507">
        <f t="shared" si="53"/>
        <v>40.639376635514019</v>
      </c>
      <c r="J507" t="b">
        <f t="shared" si="54"/>
        <v>0</v>
      </c>
      <c r="K507">
        <f t="shared" si="55"/>
        <v>3638</v>
      </c>
    </row>
    <row r="508" spans="1:11" x14ac:dyDescent="0.3">
      <c r="A508" t="s">
        <v>306</v>
      </c>
      <c r="B508">
        <v>166176.2838</v>
      </c>
      <c r="C508">
        <v>178568.18049999999</v>
      </c>
      <c r="D508">
        <v>4394</v>
      </c>
      <c r="E508">
        <f t="shared" si="49"/>
        <v>37.818908466090122</v>
      </c>
      <c r="F508">
        <f t="shared" si="50"/>
        <v>-12391.896699999983</v>
      </c>
      <c r="G508">
        <f t="shared" si="51"/>
        <v>-7.4570789625516845E-2</v>
      </c>
      <c r="H508">
        <f t="shared" si="52"/>
        <v>-2.8201858670914888</v>
      </c>
      <c r="I508">
        <f t="shared" si="53"/>
        <v>40.63909433318161</v>
      </c>
      <c r="J508" t="b">
        <f t="shared" si="54"/>
        <v>0</v>
      </c>
      <c r="K508">
        <f t="shared" si="55"/>
        <v>4394</v>
      </c>
    </row>
    <row r="509" spans="1:11" x14ac:dyDescent="0.3">
      <c r="A509" t="s">
        <v>307</v>
      </c>
      <c r="B509">
        <v>84604.377569999997</v>
      </c>
      <c r="C509">
        <v>81763.267389999994</v>
      </c>
      <c r="D509">
        <v>2012</v>
      </c>
      <c r="E509">
        <f t="shared" si="49"/>
        <v>42.04988944831014</v>
      </c>
      <c r="F509">
        <f t="shared" si="50"/>
        <v>2841.1101800000033</v>
      </c>
      <c r="G509">
        <f t="shared" si="51"/>
        <v>3.3581125015065855E-2</v>
      </c>
      <c r="H509">
        <f t="shared" si="52"/>
        <v>1.4120825944334001</v>
      </c>
      <c r="I509">
        <f t="shared" si="53"/>
        <v>40.637806853876739</v>
      </c>
      <c r="J509" t="b">
        <f t="shared" si="54"/>
        <v>1</v>
      </c>
      <c r="K509">
        <f t="shared" si="55"/>
        <v>2012</v>
      </c>
    </row>
    <row r="510" spans="1:11" x14ac:dyDescent="0.3">
      <c r="A510" t="s">
        <v>308</v>
      </c>
      <c r="B510">
        <v>321821.02029999997</v>
      </c>
      <c r="C510">
        <v>346487.52029999997</v>
      </c>
      <c r="D510">
        <v>8526</v>
      </c>
      <c r="E510">
        <f t="shared" si="49"/>
        <v>37.745838646493077</v>
      </c>
      <c r="F510">
        <f t="shared" si="50"/>
        <v>-24666.5</v>
      </c>
      <c r="G510">
        <f t="shared" si="51"/>
        <v>-7.6646640349987111E-2</v>
      </c>
      <c r="H510">
        <f t="shared" si="52"/>
        <v>-2.8930917194463959</v>
      </c>
      <c r="I510">
        <f t="shared" si="53"/>
        <v>40.638930365939473</v>
      </c>
      <c r="J510" t="b">
        <f t="shared" si="54"/>
        <v>0</v>
      </c>
      <c r="K510">
        <f t="shared" si="55"/>
        <v>8526</v>
      </c>
    </row>
    <row r="511" spans="1:11" x14ac:dyDescent="0.3">
      <c r="A511" t="s">
        <v>309</v>
      </c>
      <c r="B511">
        <v>418715.4106</v>
      </c>
      <c r="C511">
        <v>450936.27929999999</v>
      </c>
      <c r="D511">
        <v>11096</v>
      </c>
      <c r="E511">
        <f t="shared" si="49"/>
        <v>37.735707516222064</v>
      </c>
      <c r="F511">
        <f t="shared" si="50"/>
        <v>-32220.868699999992</v>
      </c>
      <c r="G511">
        <f t="shared" si="51"/>
        <v>-7.6951714420610801E-2</v>
      </c>
      <c r="H511">
        <f t="shared" si="52"/>
        <v>-2.9038273882480183</v>
      </c>
      <c r="I511">
        <f t="shared" si="53"/>
        <v>40.639534904470082</v>
      </c>
      <c r="J511" t="b">
        <f t="shared" si="54"/>
        <v>0</v>
      </c>
      <c r="K511">
        <f t="shared" si="55"/>
        <v>11096</v>
      </c>
    </row>
    <row r="512" spans="1:11" x14ac:dyDescent="0.3">
      <c r="A512" t="s">
        <v>310</v>
      </c>
      <c r="B512">
        <v>169541.2659</v>
      </c>
      <c r="C512">
        <v>182419.14139999999</v>
      </c>
      <c r="D512">
        <v>4489</v>
      </c>
      <c r="E512">
        <f t="shared" si="49"/>
        <v>37.768159033192248</v>
      </c>
      <c r="F512">
        <f t="shared" si="50"/>
        <v>-12877.875499999995</v>
      </c>
      <c r="G512">
        <f t="shared" si="51"/>
        <v>-7.5957174388421242E-2</v>
      </c>
      <c r="H512">
        <f t="shared" si="52"/>
        <v>-2.868762642013813</v>
      </c>
      <c r="I512">
        <f t="shared" si="53"/>
        <v>40.636921675206061</v>
      </c>
      <c r="J512" t="b">
        <f t="shared" si="54"/>
        <v>0</v>
      </c>
      <c r="K512">
        <f t="shared" si="55"/>
        <v>4489</v>
      </c>
    </row>
    <row r="513" spans="1:11" x14ac:dyDescent="0.3">
      <c r="A513" t="s">
        <v>311</v>
      </c>
      <c r="B513">
        <v>256434.5099</v>
      </c>
      <c r="C513">
        <v>276173.79249999998</v>
      </c>
      <c r="D513">
        <v>6795</v>
      </c>
      <c r="E513">
        <f t="shared" si="49"/>
        <v>37.738706387049305</v>
      </c>
      <c r="F513">
        <f t="shared" si="50"/>
        <v>-19739.282599999977</v>
      </c>
      <c r="G513">
        <f t="shared" si="51"/>
        <v>-7.6975921094620092E-2</v>
      </c>
      <c r="H513">
        <f t="shared" si="52"/>
        <v>-2.9049716850625416</v>
      </c>
      <c r="I513">
        <f t="shared" si="53"/>
        <v>40.643678072111847</v>
      </c>
      <c r="J513" t="b">
        <f t="shared" si="54"/>
        <v>0</v>
      </c>
      <c r="K513">
        <f t="shared" si="55"/>
        <v>6795</v>
      </c>
    </row>
    <row r="514" spans="1:11" x14ac:dyDescent="0.3">
      <c r="A514" t="s">
        <v>312</v>
      </c>
      <c r="B514">
        <v>199385.9124</v>
      </c>
      <c r="C514">
        <v>214719.75279999999</v>
      </c>
      <c r="D514">
        <v>5283</v>
      </c>
      <c r="E514">
        <f t="shared" si="49"/>
        <v>37.741039636570129</v>
      </c>
      <c r="F514">
        <f t="shared" si="50"/>
        <v>-15333.840399999986</v>
      </c>
      <c r="G514">
        <f t="shared" si="51"/>
        <v>-7.690533506318066E-2</v>
      </c>
      <c r="H514">
        <f t="shared" si="52"/>
        <v>-2.9024872988832087</v>
      </c>
      <c r="I514">
        <f t="shared" si="53"/>
        <v>40.643526935453338</v>
      </c>
      <c r="J514" t="b">
        <f t="shared" si="54"/>
        <v>0</v>
      </c>
      <c r="K514">
        <f t="shared" si="55"/>
        <v>5283</v>
      </c>
    </row>
    <row r="515" spans="1:11" x14ac:dyDescent="0.3">
      <c r="A515" t="s">
        <v>313</v>
      </c>
      <c r="B515">
        <v>243554.2243</v>
      </c>
      <c r="C515">
        <v>262251.08010000002</v>
      </c>
      <c r="D515">
        <v>6453</v>
      </c>
      <c r="E515">
        <f t="shared" ref="E515:E578" si="56">B515/D515</f>
        <v>37.742790066635671</v>
      </c>
      <c r="F515">
        <f t="shared" ref="F515:F578" si="57">B515-C515</f>
        <v>-18696.855800000019</v>
      </c>
      <c r="G515">
        <f t="shared" ref="G515:H578" si="58">F515/B515</f>
        <v>-7.6766707100797429E-2</v>
      </c>
      <c r="H515">
        <f t="shared" ref="H515:H578" si="59">E515-I515</f>
        <v>-2.897389710212309</v>
      </c>
      <c r="I515">
        <f t="shared" ref="I515:I578" si="60">C515/D515</f>
        <v>40.64017977684798</v>
      </c>
      <c r="J515" t="b">
        <f t="shared" ref="J515:J578" si="61">H515&gt;0</f>
        <v>0</v>
      </c>
      <c r="K515">
        <f t="shared" ref="K515:K578" si="62">D515</f>
        <v>6453</v>
      </c>
    </row>
    <row r="516" spans="1:11" x14ac:dyDescent="0.3">
      <c r="A516" t="s">
        <v>314</v>
      </c>
      <c r="B516">
        <v>217746.0129</v>
      </c>
      <c r="C516">
        <v>234483.41699999999</v>
      </c>
      <c r="D516">
        <v>5770</v>
      </c>
      <c r="E516">
        <f t="shared" si="56"/>
        <v>37.73761055459272</v>
      </c>
      <c r="F516">
        <f t="shared" si="57"/>
        <v>-16737.404099999985</v>
      </c>
      <c r="G516">
        <f t="shared" si="58"/>
        <v>-7.6866638691045278E-2</v>
      </c>
      <c r="H516">
        <f t="shared" si="59"/>
        <v>-2.9007632755632571</v>
      </c>
      <c r="I516">
        <f t="shared" si="60"/>
        <v>40.638373830155977</v>
      </c>
      <c r="J516" t="b">
        <f t="shared" si="61"/>
        <v>0</v>
      </c>
      <c r="K516">
        <f t="shared" si="62"/>
        <v>5770</v>
      </c>
    </row>
    <row r="517" spans="1:11" x14ac:dyDescent="0.3">
      <c r="A517" t="s">
        <v>315</v>
      </c>
      <c r="B517">
        <v>472160.75209999998</v>
      </c>
      <c r="C517">
        <v>508265.147</v>
      </c>
      <c r="D517">
        <v>12507</v>
      </c>
      <c r="E517">
        <f t="shared" si="56"/>
        <v>37.75171920524506</v>
      </c>
      <c r="F517">
        <f t="shared" si="57"/>
        <v>-36104.394900000014</v>
      </c>
      <c r="G517">
        <f t="shared" si="58"/>
        <v>-7.6466319446122422E-2</v>
      </c>
      <c r="H517">
        <f t="shared" si="59"/>
        <v>-2.8867350203885849</v>
      </c>
      <c r="I517">
        <f t="shared" si="60"/>
        <v>40.638454225633645</v>
      </c>
      <c r="J517" t="b">
        <f t="shared" si="61"/>
        <v>0</v>
      </c>
      <c r="K517">
        <f t="shared" si="62"/>
        <v>12507</v>
      </c>
    </row>
    <row r="518" spans="1:11" x14ac:dyDescent="0.3">
      <c r="A518" t="s">
        <v>316</v>
      </c>
      <c r="B518">
        <v>546135.46239999996</v>
      </c>
      <c r="C518">
        <v>588250.18119999999</v>
      </c>
      <c r="D518">
        <v>14475</v>
      </c>
      <c r="E518">
        <f t="shared" si="56"/>
        <v>37.729565623488774</v>
      </c>
      <c r="F518">
        <f t="shared" si="57"/>
        <v>-42114.718800000031</v>
      </c>
      <c r="G518">
        <f t="shared" si="58"/>
        <v>-7.711405264716982E-2</v>
      </c>
      <c r="H518">
        <f t="shared" si="59"/>
        <v>-2.9094797098445611</v>
      </c>
      <c r="I518">
        <f t="shared" si="60"/>
        <v>40.639045333333335</v>
      </c>
      <c r="J518" t="b">
        <f t="shared" si="61"/>
        <v>0</v>
      </c>
      <c r="K518">
        <f t="shared" si="62"/>
        <v>14475</v>
      </c>
    </row>
    <row r="519" spans="1:11" x14ac:dyDescent="0.3">
      <c r="A519" t="s">
        <v>317</v>
      </c>
      <c r="B519">
        <v>264637.3653</v>
      </c>
      <c r="C519">
        <v>284828.65970000002</v>
      </c>
      <c r="D519">
        <v>7009</v>
      </c>
      <c r="E519">
        <f t="shared" si="56"/>
        <v>37.756793451276927</v>
      </c>
      <c r="F519">
        <f t="shared" si="57"/>
        <v>-20191.294400000013</v>
      </c>
      <c r="G519">
        <f t="shared" si="58"/>
        <v>-7.6297972423926691E-2</v>
      </c>
      <c r="H519">
        <f t="shared" si="59"/>
        <v>-2.880766785561427</v>
      </c>
      <c r="I519">
        <f t="shared" si="60"/>
        <v>40.637560236838354</v>
      </c>
      <c r="J519" t="b">
        <f t="shared" si="61"/>
        <v>0</v>
      </c>
      <c r="K519">
        <f t="shared" si="62"/>
        <v>7009</v>
      </c>
    </row>
    <row r="520" spans="1:11" x14ac:dyDescent="0.3">
      <c r="A520" s="1">
        <v>42010</v>
      </c>
      <c r="B520">
        <v>440905.9987</v>
      </c>
      <c r="C520">
        <v>474967.32760000002</v>
      </c>
      <c r="D520">
        <v>11688</v>
      </c>
      <c r="E520">
        <f t="shared" si="56"/>
        <v>37.722963612251881</v>
      </c>
      <c r="F520">
        <f t="shared" si="57"/>
        <v>-34061.328900000022</v>
      </c>
      <c r="G520">
        <f t="shared" si="58"/>
        <v>-7.7253040331564951E-2</v>
      </c>
      <c r="H520">
        <f t="shared" si="59"/>
        <v>-2.9142136293634522</v>
      </c>
      <c r="I520">
        <f t="shared" si="60"/>
        <v>40.637177241615333</v>
      </c>
      <c r="J520" t="b">
        <f t="shared" si="61"/>
        <v>0</v>
      </c>
      <c r="K520">
        <f t="shared" si="62"/>
        <v>11688</v>
      </c>
    </row>
    <row r="521" spans="1:11" x14ac:dyDescent="0.3">
      <c r="A521" s="1">
        <v>42041</v>
      </c>
      <c r="B521">
        <v>334318.89779999998</v>
      </c>
      <c r="C521">
        <v>360168.82709999999</v>
      </c>
      <c r="D521">
        <v>8863</v>
      </c>
      <c r="E521">
        <f t="shared" si="56"/>
        <v>37.720737650908269</v>
      </c>
      <c r="F521">
        <f t="shared" si="57"/>
        <v>-25849.929300000018</v>
      </c>
      <c r="G521">
        <f t="shared" si="58"/>
        <v>-7.7321172898411075E-2</v>
      </c>
      <c r="H521">
        <f t="shared" si="59"/>
        <v>-2.9166116777614803</v>
      </c>
      <c r="I521">
        <f t="shared" si="60"/>
        <v>40.63734932866975</v>
      </c>
      <c r="J521" t="b">
        <f t="shared" si="61"/>
        <v>0</v>
      </c>
      <c r="K521">
        <f t="shared" si="62"/>
        <v>8863</v>
      </c>
    </row>
    <row r="522" spans="1:11" x14ac:dyDescent="0.3">
      <c r="A522" s="1">
        <v>42069</v>
      </c>
      <c r="B522">
        <v>269835.82860000001</v>
      </c>
      <c r="C522">
        <v>290492.10629999998</v>
      </c>
      <c r="D522">
        <v>7148</v>
      </c>
      <c r="E522">
        <f t="shared" si="56"/>
        <v>37.749836121992168</v>
      </c>
      <c r="F522">
        <f t="shared" si="57"/>
        <v>-20656.277699999977</v>
      </c>
      <c r="G522">
        <f t="shared" si="58"/>
        <v>-7.6551278631795366E-2</v>
      </c>
      <c r="H522">
        <f t="shared" si="59"/>
        <v>-2.8897982232792359</v>
      </c>
      <c r="I522">
        <f t="shared" si="60"/>
        <v>40.639634345271404</v>
      </c>
      <c r="J522" t="b">
        <f t="shared" si="61"/>
        <v>0</v>
      </c>
      <c r="K522">
        <f t="shared" si="62"/>
        <v>7148</v>
      </c>
    </row>
    <row r="523" spans="1:11" x14ac:dyDescent="0.3">
      <c r="A523" s="1">
        <v>42100</v>
      </c>
      <c r="B523">
        <v>201146.48929999999</v>
      </c>
      <c r="C523">
        <v>216428.50039999999</v>
      </c>
      <c r="D523">
        <v>5326</v>
      </c>
      <c r="E523">
        <f t="shared" si="56"/>
        <v>37.76689622606083</v>
      </c>
      <c r="F523">
        <f t="shared" si="57"/>
        <v>-15282.011100000003</v>
      </c>
      <c r="G523">
        <f t="shared" si="58"/>
        <v>-7.5974535539656593E-2</v>
      </c>
      <c r="H523">
        <f t="shared" si="59"/>
        <v>-2.8693223995493824</v>
      </c>
      <c r="I523">
        <f t="shared" si="60"/>
        <v>40.636218625610212</v>
      </c>
      <c r="J523" t="b">
        <f t="shared" si="61"/>
        <v>0</v>
      </c>
      <c r="K523">
        <f t="shared" si="62"/>
        <v>5326</v>
      </c>
    </row>
    <row r="524" spans="1:11" x14ac:dyDescent="0.3">
      <c r="A524" s="1">
        <v>42130</v>
      </c>
      <c r="B524">
        <v>293461.08390000003</v>
      </c>
      <c r="C524">
        <v>315937.86219999997</v>
      </c>
      <c r="D524">
        <v>7775</v>
      </c>
      <c r="E524">
        <f t="shared" si="56"/>
        <v>37.744190855305469</v>
      </c>
      <c r="F524">
        <f t="shared" si="57"/>
        <v>-22476.778299999947</v>
      </c>
      <c r="G524">
        <f t="shared" si="58"/>
        <v>-7.6592023723524263E-2</v>
      </c>
      <c r="H524">
        <f t="shared" si="59"/>
        <v>-2.8909039614147858</v>
      </c>
      <c r="I524">
        <f t="shared" si="60"/>
        <v>40.635094816720255</v>
      </c>
      <c r="J524" t="b">
        <f t="shared" si="61"/>
        <v>0</v>
      </c>
      <c r="K524">
        <f t="shared" si="62"/>
        <v>7775</v>
      </c>
    </row>
    <row r="525" spans="1:11" x14ac:dyDescent="0.3">
      <c r="A525" s="1">
        <v>42161</v>
      </c>
      <c r="B525">
        <v>349413.0098</v>
      </c>
      <c r="C525">
        <v>376094.7218</v>
      </c>
      <c r="D525">
        <v>9255</v>
      </c>
      <c r="E525">
        <f t="shared" si="56"/>
        <v>37.753971885467315</v>
      </c>
      <c r="F525">
        <f t="shared" si="57"/>
        <v>-26681.712</v>
      </c>
      <c r="G525">
        <f t="shared" si="58"/>
        <v>-7.6361529913474904E-2</v>
      </c>
      <c r="H525">
        <f t="shared" si="59"/>
        <v>-2.8829510534846037</v>
      </c>
      <c r="I525">
        <f t="shared" si="60"/>
        <v>40.636922938951919</v>
      </c>
      <c r="J525" t="b">
        <f t="shared" si="61"/>
        <v>0</v>
      </c>
      <c r="K525">
        <f t="shared" si="62"/>
        <v>9255</v>
      </c>
    </row>
    <row r="526" spans="1:11" x14ac:dyDescent="0.3">
      <c r="A526" s="1">
        <v>42191</v>
      </c>
      <c r="B526">
        <v>179602.91519999999</v>
      </c>
      <c r="C526">
        <v>193348.5914</v>
      </c>
      <c r="D526">
        <v>4758</v>
      </c>
      <c r="E526">
        <f t="shared" si="56"/>
        <v>37.747565195460275</v>
      </c>
      <c r="F526">
        <f t="shared" si="57"/>
        <v>-13745.676200000016</v>
      </c>
      <c r="G526">
        <f t="shared" si="58"/>
        <v>-7.6533703167864939E-2</v>
      </c>
      <c r="H526">
        <f t="shared" si="59"/>
        <v>-2.888960949978987</v>
      </c>
      <c r="I526">
        <f t="shared" si="60"/>
        <v>40.636526145439262</v>
      </c>
      <c r="J526" t="b">
        <f t="shared" si="61"/>
        <v>0</v>
      </c>
      <c r="K526">
        <f t="shared" si="62"/>
        <v>4758</v>
      </c>
    </row>
    <row r="527" spans="1:11" x14ac:dyDescent="0.3">
      <c r="A527" s="1">
        <v>42222</v>
      </c>
      <c r="B527">
        <v>109810.5457</v>
      </c>
      <c r="C527">
        <v>106166.0816</v>
      </c>
      <c r="D527">
        <v>2613</v>
      </c>
      <c r="E527">
        <f t="shared" si="56"/>
        <v>42.024701760428627</v>
      </c>
      <c r="F527">
        <f t="shared" si="57"/>
        <v>3644.4640999999974</v>
      </c>
      <c r="G527">
        <f t="shared" si="58"/>
        <v>3.318865302752063E-2</v>
      </c>
      <c r="H527">
        <f t="shared" si="59"/>
        <v>1.3947432453119006</v>
      </c>
      <c r="I527">
        <f t="shared" si="60"/>
        <v>40.629958515116726</v>
      </c>
      <c r="J527" t="b">
        <f t="shared" si="61"/>
        <v>1</v>
      </c>
      <c r="K527">
        <f t="shared" si="62"/>
        <v>2613</v>
      </c>
    </row>
    <row r="528" spans="1:11" x14ac:dyDescent="0.3">
      <c r="A528" s="1">
        <v>42253</v>
      </c>
      <c r="B528">
        <v>76956.92035</v>
      </c>
      <c r="C528">
        <v>74212.790569999997</v>
      </c>
      <c r="D528">
        <v>1830</v>
      </c>
      <c r="E528">
        <f t="shared" si="56"/>
        <v>42.052961939890707</v>
      </c>
      <c r="F528">
        <f t="shared" si="57"/>
        <v>2744.1297800000029</v>
      </c>
      <c r="G528">
        <f t="shared" si="58"/>
        <v>3.5657998884566888E-2</v>
      </c>
      <c r="H528">
        <f t="shared" si="59"/>
        <v>1.4995244699453565</v>
      </c>
      <c r="I528">
        <f t="shared" si="60"/>
        <v>40.553437469945351</v>
      </c>
      <c r="J528" t="b">
        <f t="shared" si="61"/>
        <v>1</v>
      </c>
      <c r="K528">
        <f t="shared" si="62"/>
        <v>1830</v>
      </c>
    </row>
    <row r="529" spans="1:11" x14ac:dyDescent="0.3">
      <c r="A529" s="1">
        <v>42283</v>
      </c>
      <c r="B529">
        <v>71199.588399999993</v>
      </c>
      <c r="C529">
        <v>68669.394960000005</v>
      </c>
      <c r="D529">
        <v>1694</v>
      </c>
      <c r="E529">
        <f t="shared" si="56"/>
        <v>42.030453600944504</v>
      </c>
      <c r="F529">
        <f t="shared" si="57"/>
        <v>2530.1934399999882</v>
      </c>
      <c r="G529">
        <f t="shared" si="58"/>
        <v>3.5536630152766285E-2</v>
      </c>
      <c r="H529">
        <f t="shared" si="59"/>
        <v>1.4936206847697662</v>
      </c>
      <c r="I529">
        <f t="shared" si="60"/>
        <v>40.536832916174738</v>
      </c>
      <c r="J529" t="b">
        <f t="shared" si="61"/>
        <v>1</v>
      </c>
      <c r="K529">
        <f t="shared" si="62"/>
        <v>1694</v>
      </c>
    </row>
    <row r="530" spans="1:11" x14ac:dyDescent="0.3">
      <c r="A530" s="1">
        <v>42314</v>
      </c>
      <c r="B530">
        <v>68988.346669999999</v>
      </c>
      <c r="C530">
        <v>66539.165200000003</v>
      </c>
      <c r="D530">
        <v>1642</v>
      </c>
      <c r="E530">
        <f t="shared" si="56"/>
        <v>42.014827448233859</v>
      </c>
      <c r="F530">
        <f t="shared" si="57"/>
        <v>2449.1814699999959</v>
      </c>
      <c r="G530">
        <f t="shared" si="58"/>
        <v>3.5501379409995884E-2</v>
      </c>
      <c r="H530">
        <f t="shared" si="59"/>
        <v>1.49158433008526</v>
      </c>
      <c r="I530">
        <f t="shared" si="60"/>
        <v>40.523243118148599</v>
      </c>
      <c r="J530" t="b">
        <f t="shared" si="61"/>
        <v>1</v>
      </c>
      <c r="K530">
        <f t="shared" si="62"/>
        <v>1642</v>
      </c>
    </row>
    <row r="531" spans="1:11" x14ac:dyDescent="0.3">
      <c r="A531" s="1">
        <v>42344</v>
      </c>
      <c r="B531">
        <v>155156.8792</v>
      </c>
      <c r="C531">
        <v>149423.24359999999</v>
      </c>
      <c r="D531">
        <v>3690</v>
      </c>
      <c r="E531">
        <f t="shared" si="56"/>
        <v>42.047934742547426</v>
      </c>
      <c r="F531">
        <f t="shared" si="57"/>
        <v>5733.6356000000087</v>
      </c>
      <c r="G531">
        <f t="shared" si="58"/>
        <v>3.695379560070456E-2</v>
      </c>
      <c r="H531">
        <f t="shared" si="59"/>
        <v>1.5538307859078628</v>
      </c>
      <c r="I531">
        <f t="shared" si="60"/>
        <v>40.494103956639563</v>
      </c>
      <c r="J531" t="b">
        <f t="shared" si="61"/>
        <v>1</v>
      </c>
      <c r="K531">
        <f t="shared" si="62"/>
        <v>3690</v>
      </c>
    </row>
    <row r="532" spans="1:11" x14ac:dyDescent="0.3">
      <c r="A532" t="s">
        <v>318</v>
      </c>
      <c r="B532">
        <v>185109.52309999999</v>
      </c>
      <c r="C532">
        <v>178347.3694</v>
      </c>
      <c r="D532">
        <v>4404</v>
      </c>
      <c r="E532">
        <f t="shared" si="56"/>
        <v>42.032135127157126</v>
      </c>
      <c r="F532">
        <f t="shared" si="57"/>
        <v>6762.1536999999953</v>
      </c>
      <c r="G532">
        <f t="shared" si="58"/>
        <v>3.6530555461195477E-2</v>
      </c>
      <c r="H532">
        <f t="shared" si="59"/>
        <v>1.5354572434150739</v>
      </c>
      <c r="I532">
        <f t="shared" si="60"/>
        <v>40.496677883742052</v>
      </c>
      <c r="J532" t="b">
        <f t="shared" si="61"/>
        <v>1</v>
      </c>
      <c r="K532">
        <f t="shared" si="62"/>
        <v>4404</v>
      </c>
    </row>
    <row r="533" spans="1:11" x14ac:dyDescent="0.3">
      <c r="A533" t="s">
        <v>319</v>
      </c>
      <c r="B533">
        <v>83779.544009999998</v>
      </c>
      <c r="C533">
        <v>80659.821809999994</v>
      </c>
      <c r="D533">
        <v>1992</v>
      </c>
      <c r="E533">
        <f t="shared" si="56"/>
        <v>42.058004021084336</v>
      </c>
      <c r="F533">
        <f t="shared" si="57"/>
        <v>3119.7222000000038</v>
      </c>
      <c r="G533">
        <f t="shared" si="58"/>
        <v>3.7237278345984205E-2</v>
      </c>
      <c r="H533">
        <f t="shared" si="59"/>
        <v>1.5661256024096417</v>
      </c>
      <c r="I533">
        <f t="shared" si="60"/>
        <v>40.491878418674695</v>
      </c>
      <c r="J533" t="b">
        <f t="shared" si="61"/>
        <v>1</v>
      </c>
      <c r="K533">
        <f t="shared" si="62"/>
        <v>1992</v>
      </c>
    </row>
    <row r="534" spans="1:11" x14ac:dyDescent="0.3">
      <c r="A534" t="s">
        <v>320</v>
      </c>
      <c r="B534">
        <v>149501.57449999999</v>
      </c>
      <c r="C534">
        <v>143962.8719</v>
      </c>
      <c r="D534">
        <v>3557</v>
      </c>
      <c r="E534">
        <f t="shared" si="56"/>
        <v>42.030243041889229</v>
      </c>
      <c r="F534">
        <f t="shared" si="57"/>
        <v>5538.7025999999896</v>
      </c>
      <c r="G534">
        <f t="shared" si="58"/>
        <v>3.7047787747546364E-2</v>
      </c>
      <c r="H534">
        <f t="shared" si="59"/>
        <v>1.5571275231936994</v>
      </c>
      <c r="I534">
        <f t="shared" si="60"/>
        <v>40.473115518695529</v>
      </c>
      <c r="J534" t="b">
        <f t="shared" si="61"/>
        <v>1</v>
      </c>
      <c r="K534">
        <f t="shared" si="62"/>
        <v>3557</v>
      </c>
    </row>
    <row r="535" spans="1:11" x14ac:dyDescent="0.3">
      <c r="A535" t="s">
        <v>321</v>
      </c>
      <c r="B535">
        <v>100477.2968</v>
      </c>
      <c r="C535">
        <v>96810.103579999995</v>
      </c>
      <c r="D535">
        <v>2395</v>
      </c>
      <c r="E535">
        <f t="shared" si="56"/>
        <v>41.952942296450935</v>
      </c>
      <c r="F535">
        <f t="shared" si="57"/>
        <v>3667.193220000001</v>
      </c>
      <c r="G535">
        <f t="shared" si="58"/>
        <v>3.6497729704049929E-2</v>
      </c>
      <c r="H535">
        <f t="shared" si="59"/>
        <v>1.5311871482254702</v>
      </c>
      <c r="I535">
        <f t="shared" si="60"/>
        <v>40.421755148225465</v>
      </c>
      <c r="J535" t="b">
        <f t="shared" si="61"/>
        <v>1</v>
      </c>
      <c r="K535">
        <f t="shared" si="62"/>
        <v>2395</v>
      </c>
    </row>
    <row r="536" spans="1:11" x14ac:dyDescent="0.3">
      <c r="A536" t="s">
        <v>322</v>
      </c>
      <c r="B536">
        <v>89072.705350000004</v>
      </c>
      <c r="C536">
        <v>85639.307750000007</v>
      </c>
      <c r="D536">
        <v>2120</v>
      </c>
      <c r="E536">
        <f t="shared" si="56"/>
        <v>42.015427051886796</v>
      </c>
      <c r="F536">
        <f t="shared" si="57"/>
        <v>3433.3975999999966</v>
      </c>
      <c r="G536">
        <f t="shared" si="58"/>
        <v>3.8546012344734475E-2</v>
      </c>
      <c r="H536">
        <f t="shared" si="59"/>
        <v>1.6195271698113203</v>
      </c>
      <c r="I536">
        <f t="shared" si="60"/>
        <v>40.395899882075476</v>
      </c>
      <c r="J536" t="b">
        <f t="shared" si="61"/>
        <v>1</v>
      </c>
      <c r="K536">
        <f t="shared" si="62"/>
        <v>2120</v>
      </c>
    </row>
    <row r="537" spans="1:11" x14ac:dyDescent="0.3">
      <c r="A537" t="s">
        <v>323</v>
      </c>
      <c r="B537">
        <v>78746.595860000001</v>
      </c>
      <c r="C537">
        <v>75673.781990000003</v>
      </c>
      <c r="D537">
        <v>1875</v>
      </c>
      <c r="E537">
        <f t="shared" si="56"/>
        <v>41.998184458666664</v>
      </c>
      <c r="F537">
        <f t="shared" si="57"/>
        <v>3072.8138699999981</v>
      </c>
      <c r="G537">
        <f t="shared" si="58"/>
        <v>3.9021545457825435E-2</v>
      </c>
      <c r="H537">
        <f t="shared" si="59"/>
        <v>1.6388340639999939</v>
      </c>
      <c r="I537">
        <f t="shared" si="60"/>
        <v>40.35935039466667</v>
      </c>
      <c r="J537" t="b">
        <f t="shared" si="61"/>
        <v>1</v>
      </c>
      <c r="K537">
        <f t="shared" si="62"/>
        <v>1875</v>
      </c>
    </row>
    <row r="538" spans="1:11" x14ac:dyDescent="0.3">
      <c r="A538" t="s">
        <v>324</v>
      </c>
      <c r="B538">
        <v>141913.3824</v>
      </c>
      <c r="C538">
        <v>136017.75039999999</v>
      </c>
      <c r="D538">
        <v>3376</v>
      </c>
      <c r="E538">
        <f t="shared" si="56"/>
        <v>42.03595450236967</v>
      </c>
      <c r="F538">
        <f t="shared" si="57"/>
        <v>5895.6320000000123</v>
      </c>
      <c r="G538">
        <f t="shared" si="58"/>
        <v>4.1543876273644594E-2</v>
      </c>
      <c r="H538">
        <f t="shared" si="59"/>
        <v>1.7463364928909968</v>
      </c>
      <c r="I538">
        <f t="shared" si="60"/>
        <v>40.289618009478673</v>
      </c>
      <c r="J538" t="b">
        <f t="shared" si="61"/>
        <v>1</v>
      </c>
      <c r="K538">
        <f t="shared" si="62"/>
        <v>3376</v>
      </c>
    </row>
    <row r="539" spans="1:11" x14ac:dyDescent="0.3">
      <c r="A539" t="s">
        <v>325</v>
      </c>
      <c r="B539">
        <v>169304.27830000001</v>
      </c>
      <c r="C539">
        <v>162287.90919999999</v>
      </c>
      <c r="D539">
        <v>4027</v>
      </c>
      <c r="E539">
        <f t="shared" si="56"/>
        <v>42.042284156940653</v>
      </c>
      <c r="F539">
        <f t="shared" si="57"/>
        <v>7016.3691000000108</v>
      </c>
      <c r="G539">
        <f t="shared" si="58"/>
        <v>4.1442361471617992E-2</v>
      </c>
      <c r="H539">
        <f t="shared" si="59"/>
        <v>1.7423315371244144</v>
      </c>
      <c r="I539">
        <f t="shared" si="60"/>
        <v>40.299952619816239</v>
      </c>
      <c r="J539" t="b">
        <f t="shared" si="61"/>
        <v>1</v>
      </c>
      <c r="K539">
        <f t="shared" si="62"/>
        <v>4027</v>
      </c>
    </row>
    <row r="540" spans="1:11" x14ac:dyDescent="0.3">
      <c r="A540" t="s">
        <v>326</v>
      </c>
      <c r="B540">
        <v>89512.242840000006</v>
      </c>
      <c r="C540">
        <v>85781.807029999996</v>
      </c>
      <c r="D540">
        <v>2128</v>
      </c>
      <c r="E540">
        <f t="shared" si="56"/>
        <v>42.064023890977445</v>
      </c>
      <c r="F540">
        <f t="shared" si="57"/>
        <v>3730.43581000001</v>
      </c>
      <c r="G540">
        <f t="shared" si="58"/>
        <v>4.1675146232991088E-2</v>
      </c>
      <c r="H540">
        <f t="shared" si="59"/>
        <v>1.7530243468045157</v>
      </c>
      <c r="I540">
        <f t="shared" si="60"/>
        <v>40.31099954417293</v>
      </c>
      <c r="J540" t="b">
        <f t="shared" si="61"/>
        <v>1</v>
      </c>
      <c r="K540">
        <f t="shared" si="62"/>
        <v>2128</v>
      </c>
    </row>
    <row r="541" spans="1:11" x14ac:dyDescent="0.3">
      <c r="A541" t="s">
        <v>327</v>
      </c>
      <c r="B541">
        <v>85984.075339999996</v>
      </c>
      <c r="C541">
        <v>82427.231539999993</v>
      </c>
      <c r="D541">
        <v>2046</v>
      </c>
      <c r="E541">
        <f t="shared" si="56"/>
        <v>42.025452267839682</v>
      </c>
      <c r="F541">
        <f t="shared" si="57"/>
        <v>3556.8438000000024</v>
      </c>
      <c r="G541">
        <f t="shared" si="58"/>
        <v>4.1366308655823275E-2</v>
      </c>
      <c r="H541">
        <f t="shared" si="59"/>
        <v>1.7384378299120229</v>
      </c>
      <c r="I541">
        <f t="shared" si="60"/>
        <v>40.28701443792766</v>
      </c>
      <c r="J541" t="b">
        <f t="shared" si="61"/>
        <v>1</v>
      </c>
      <c r="K541">
        <f t="shared" si="62"/>
        <v>2046</v>
      </c>
    </row>
    <row r="542" spans="1:11" x14ac:dyDescent="0.3">
      <c r="A542" t="s">
        <v>328</v>
      </c>
      <c r="B542">
        <v>64956.462079999998</v>
      </c>
      <c r="C542">
        <v>62169.777119999999</v>
      </c>
      <c r="D542">
        <v>1546</v>
      </c>
      <c r="E542">
        <f t="shared" si="56"/>
        <v>42.015822820181114</v>
      </c>
      <c r="F542">
        <f t="shared" si="57"/>
        <v>2786.6849599999987</v>
      </c>
      <c r="G542">
        <f t="shared" si="58"/>
        <v>4.2900811878700131E-2</v>
      </c>
      <c r="H542">
        <f t="shared" si="59"/>
        <v>1.8025129107373914</v>
      </c>
      <c r="I542">
        <f t="shared" si="60"/>
        <v>40.213309909443723</v>
      </c>
      <c r="J542" t="b">
        <f t="shared" si="61"/>
        <v>1</v>
      </c>
      <c r="K542">
        <f t="shared" si="62"/>
        <v>1546</v>
      </c>
    </row>
    <row r="543" spans="1:11" x14ac:dyDescent="0.3">
      <c r="A543" t="s">
        <v>329</v>
      </c>
      <c r="B543">
        <v>106613.4328</v>
      </c>
      <c r="C543">
        <v>113428.4743</v>
      </c>
      <c r="D543">
        <v>2822</v>
      </c>
      <c r="E543">
        <f t="shared" si="56"/>
        <v>37.77938795180723</v>
      </c>
      <c r="F543">
        <f t="shared" si="57"/>
        <v>-6815.0415000000066</v>
      </c>
      <c r="G543">
        <f t="shared" si="58"/>
        <v>-6.3922915912337147E-2</v>
      </c>
      <c r="H543">
        <f t="shared" si="59"/>
        <v>-2.4149686392629306</v>
      </c>
      <c r="I543">
        <f t="shared" si="60"/>
        <v>40.194356591070161</v>
      </c>
      <c r="J543" t="b">
        <f t="shared" si="61"/>
        <v>0</v>
      </c>
      <c r="K543">
        <f t="shared" si="62"/>
        <v>2822</v>
      </c>
    </row>
    <row r="544" spans="1:11" x14ac:dyDescent="0.3">
      <c r="A544" t="s">
        <v>330</v>
      </c>
      <c r="B544">
        <v>183843.8173</v>
      </c>
      <c r="C544">
        <v>195365.73069999999</v>
      </c>
      <c r="D544">
        <v>4865</v>
      </c>
      <c r="E544">
        <f t="shared" si="56"/>
        <v>37.789068304213771</v>
      </c>
      <c r="F544">
        <f t="shared" si="57"/>
        <v>-11521.91339999999</v>
      </c>
      <c r="G544">
        <f t="shared" si="58"/>
        <v>-6.2672291998801907E-2</v>
      </c>
      <c r="H544">
        <f t="shared" si="59"/>
        <v>-2.368327523124357</v>
      </c>
      <c r="I544">
        <f t="shared" si="60"/>
        <v>40.157395827338128</v>
      </c>
      <c r="J544" t="b">
        <f t="shared" si="61"/>
        <v>0</v>
      </c>
      <c r="K544">
        <f t="shared" si="62"/>
        <v>4865</v>
      </c>
    </row>
    <row r="545" spans="1:11" x14ac:dyDescent="0.3">
      <c r="A545" t="s">
        <v>331</v>
      </c>
      <c r="B545">
        <v>319579.7941</v>
      </c>
      <c r="C545">
        <v>339241.69179999997</v>
      </c>
      <c r="D545">
        <v>8450</v>
      </c>
      <c r="E545">
        <f t="shared" si="56"/>
        <v>37.820093976331364</v>
      </c>
      <c r="F545">
        <f t="shared" si="57"/>
        <v>-19661.897699999972</v>
      </c>
      <c r="G545">
        <f t="shared" si="58"/>
        <v>-6.1524220438816446E-2</v>
      </c>
      <c r="H545">
        <f t="shared" si="59"/>
        <v>-2.3268517988165627</v>
      </c>
      <c r="I545">
        <f t="shared" si="60"/>
        <v>40.146945775147927</v>
      </c>
      <c r="J545" t="b">
        <f t="shared" si="61"/>
        <v>0</v>
      </c>
      <c r="K545">
        <f t="shared" si="62"/>
        <v>8450</v>
      </c>
    </row>
    <row r="546" spans="1:11" x14ac:dyDescent="0.3">
      <c r="A546" t="s">
        <v>332</v>
      </c>
      <c r="B546">
        <v>369245.75870000001</v>
      </c>
      <c r="C546">
        <v>392017.97350000002</v>
      </c>
      <c r="D546">
        <v>9770</v>
      </c>
      <c r="E546">
        <f t="shared" si="56"/>
        <v>37.79383405322416</v>
      </c>
      <c r="F546">
        <f t="shared" si="57"/>
        <v>-22772.214800000016</v>
      </c>
      <c r="G546">
        <f t="shared" si="58"/>
        <v>-6.1672244740667931E-2</v>
      </c>
      <c r="H546">
        <f t="shared" si="59"/>
        <v>-2.3308305834186243</v>
      </c>
      <c r="I546">
        <f t="shared" si="60"/>
        <v>40.124664636642784</v>
      </c>
      <c r="J546" t="b">
        <f t="shared" si="61"/>
        <v>0</v>
      </c>
      <c r="K546">
        <f t="shared" si="62"/>
        <v>9770</v>
      </c>
    </row>
    <row r="547" spans="1:11" x14ac:dyDescent="0.3">
      <c r="A547" t="s">
        <v>333</v>
      </c>
      <c r="B547">
        <v>185648.49110000001</v>
      </c>
      <c r="C547">
        <v>197095.10870000001</v>
      </c>
      <c r="D547">
        <v>4914</v>
      </c>
      <c r="E547">
        <f t="shared" si="56"/>
        <v>37.779505718355722</v>
      </c>
      <c r="F547">
        <f t="shared" si="57"/>
        <v>-11446.617599999998</v>
      </c>
      <c r="G547">
        <f t="shared" si="58"/>
        <v>-6.165747716114886E-2</v>
      </c>
      <c r="H547">
        <f t="shared" si="59"/>
        <v>-2.3293890109890114</v>
      </c>
      <c r="I547">
        <f t="shared" si="60"/>
        <v>40.108894729344733</v>
      </c>
      <c r="J547" t="b">
        <f t="shared" si="61"/>
        <v>0</v>
      </c>
      <c r="K547">
        <f t="shared" si="62"/>
        <v>4914</v>
      </c>
    </row>
    <row r="548" spans="1:11" x14ac:dyDescent="0.3">
      <c r="A548" t="s">
        <v>334</v>
      </c>
      <c r="B548">
        <v>165557.76180000001</v>
      </c>
      <c r="C548">
        <v>175871.1109</v>
      </c>
      <c r="D548">
        <v>4385</v>
      </c>
      <c r="E548">
        <f t="shared" si="56"/>
        <v>37.755475895096922</v>
      </c>
      <c r="F548">
        <f t="shared" si="57"/>
        <v>-10313.349099999992</v>
      </c>
      <c r="G548">
        <f t="shared" si="58"/>
        <v>-6.2294567091689151E-2</v>
      </c>
      <c r="H548">
        <f t="shared" si="59"/>
        <v>-2.3519610262257729</v>
      </c>
      <c r="I548">
        <f t="shared" si="60"/>
        <v>40.107436921322694</v>
      </c>
      <c r="J548" t="b">
        <f t="shared" si="61"/>
        <v>0</v>
      </c>
      <c r="K548">
        <f t="shared" si="62"/>
        <v>4385</v>
      </c>
    </row>
    <row r="549" spans="1:11" x14ac:dyDescent="0.3">
      <c r="A549" t="s">
        <v>335</v>
      </c>
      <c r="B549">
        <v>212465.08319999999</v>
      </c>
      <c r="C549">
        <v>225678.9345</v>
      </c>
      <c r="D549">
        <v>5627</v>
      </c>
      <c r="E549">
        <f t="shared" si="56"/>
        <v>37.758145228363247</v>
      </c>
      <c r="F549">
        <f t="shared" si="57"/>
        <v>-13213.851300000009</v>
      </c>
      <c r="G549">
        <f t="shared" si="58"/>
        <v>-6.2193048857639349E-2</v>
      </c>
      <c r="H549">
        <f t="shared" si="59"/>
        <v>-2.348294170961438</v>
      </c>
      <c r="I549">
        <f t="shared" si="60"/>
        <v>40.106439399324685</v>
      </c>
      <c r="J549" t="b">
        <f t="shared" si="61"/>
        <v>0</v>
      </c>
      <c r="K549">
        <f t="shared" si="62"/>
        <v>5627</v>
      </c>
    </row>
    <row r="550" spans="1:11" x14ac:dyDescent="0.3">
      <c r="A550" s="1">
        <v>42011</v>
      </c>
      <c r="B550">
        <v>305231.9081</v>
      </c>
      <c r="C550">
        <v>324248.84149999998</v>
      </c>
      <c r="D550">
        <v>8086</v>
      </c>
      <c r="E550">
        <f t="shared" si="56"/>
        <v>37.748195411822905</v>
      </c>
      <c r="F550">
        <f t="shared" si="57"/>
        <v>-19016.93339999998</v>
      </c>
      <c r="G550">
        <f t="shared" si="58"/>
        <v>-6.2303228775707348E-2</v>
      </c>
      <c r="H550">
        <f t="shared" si="59"/>
        <v>-2.3518344546129057</v>
      </c>
      <c r="I550">
        <f t="shared" si="60"/>
        <v>40.100029866435811</v>
      </c>
      <c r="J550" t="b">
        <f t="shared" si="61"/>
        <v>0</v>
      </c>
      <c r="K550">
        <f t="shared" si="62"/>
        <v>8086</v>
      </c>
    </row>
    <row r="551" spans="1:11" x14ac:dyDescent="0.3">
      <c r="A551" s="1">
        <v>42042</v>
      </c>
      <c r="B551">
        <v>250481.6177</v>
      </c>
      <c r="C551">
        <v>266061.92839999998</v>
      </c>
      <c r="D551">
        <v>6639</v>
      </c>
      <c r="E551">
        <f t="shared" si="56"/>
        <v>37.728817246573279</v>
      </c>
      <c r="F551">
        <f t="shared" si="57"/>
        <v>-15580.310699999973</v>
      </c>
      <c r="G551">
        <f t="shared" si="58"/>
        <v>-6.2201413592994262E-2</v>
      </c>
      <c r="H551">
        <f t="shared" si="59"/>
        <v>-2.3467857659286011</v>
      </c>
      <c r="I551">
        <f t="shared" si="60"/>
        <v>40.07560301250188</v>
      </c>
      <c r="J551" t="b">
        <f t="shared" si="61"/>
        <v>0</v>
      </c>
      <c r="K551">
        <f t="shared" si="62"/>
        <v>6639</v>
      </c>
    </row>
    <row r="552" spans="1:11" x14ac:dyDescent="0.3">
      <c r="A552" s="1">
        <v>42070</v>
      </c>
      <c r="B552">
        <v>268410.48070000001</v>
      </c>
      <c r="C552">
        <v>284592.99469999998</v>
      </c>
      <c r="D552">
        <v>7104</v>
      </c>
      <c r="E552">
        <f t="shared" si="56"/>
        <v>37.783006855292797</v>
      </c>
      <c r="F552">
        <f t="shared" si="57"/>
        <v>-16182.513999999966</v>
      </c>
      <c r="G552">
        <f t="shared" si="58"/>
        <v>-6.0290171821148139E-2</v>
      </c>
      <c r="H552">
        <f t="shared" si="59"/>
        <v>-2.2779439752252202</v>
      </c>
      <c r="I552">
        <f t="shared" si="60"/>
        <v>40.060950830518017</v>
      </c>
      <c r="J552" t="b">
        <f t="shared" si="61"/>
        <v>0</v>
      </c>
      <c r="K552">
        <f t="shared" si="62"/>
        <v>7104</v>
      </c>
    </row>
    <row r="553" spans="1:11" x14ac:dyDescent="0.3">
      <c r="A553" s="1">
        <v>42101</v>
      </c>
      <c r="B553">
        <v>316365.4987</v>
      </c>
      <c r="C553">
        <v>335025.07640000002</v>
      </c>
      <c r="D553">
        <v>8364</v>
      </c>
      <c r="E553">
        <f t="shared" si="56"/>
        <v>37.824665076518414</v>
      </c>
      <c r="F553">
        <f t="shared" si="57"/>
        <v>-18659.577700000023</v>
      </c>
      <c r="G553">
        <f t="shared" si="58"/>
        <v>-5.898107656073568E-2</v>
      </c>
      <c r="H553">
        <f t="shared" si="59"/>
        <v>-2.2309394667623152</v>
      </c>
      <c r="I553">
        <f t="shared" si="60"/>
        <v>40.05560454328073</v>
      </c>
      <c r="J553" t="b">
        <f t="shared" si="61"/>
        <v>0</v>
      </c>
      <c r="K553">
        <f t="shared" si="62"/>
        <v>8364</v>
      </c>
    </row>
    <row r="554" spans="1:11" x14ac:dyDescent="0.3">
      <c r="A554" s="1">
        <v>42131</v>
      </c>
      <c r="B554">
        <v>156873.04370000001</v>
      </c>
      <c r="C554">
        <v>165968.62450000001</v>
      </c>
      <c r="D554">
        <v>4146</v>
      </c>
      <c r="E554">
        <f t="shared" si="56"/>
        <v>37.837203014954177</v>
      </c>
      <c r="F554">
        <f t="shared" si="57"/>
        <v>-9095.5807999999961</v>
      </c>
      <c r="G554">
        <f t="shared" si="58"/>
        <v>-5.798052097079312E-2</v>
      </c>
      <c r="H554">
        <f t="shared" si="59"/>
        <v>-2.1938207428847036</v>
      </c>
      <c r="I554">
        <f t="shared" si="60"/>
        <v>40.031023757838881</v>
      </c>
      <c r="J554" t="b">
        <f t="shared" si="61"/>
        <v>0</v>
      </c>
      <c r="K554">
        <f t="shared" si="62"/>
        <v>4146</v>
      </c>
    </row>
    <row r="555" spans="1:11" x14ac:dyDescent="0.3">
      <c r="A555" s="1">
        <v>42162</v>
      </c>
      <c r="B555">
        <v>173987.75150000001</v>
      </c>
      <c r="C555">
        <v>184188.97899999999</v>
      </c>
      <c r="D555">
        <v>4601</v>
      </c>
      <c r="E555">
        <f t="shared" si="56"/>
        <v>37.815203542708112</v>
      </c>
      <c r="F555">
        <f t="shared" si="57"/>
        <v>-10201.227499999979</v>
      </c>
      <c r="G555">
        <f t="shared" si="58"/>
        <v>-5.8631871565970425E-2</v>
      </c>
      <c r="H555">
        <f t="shared" si="59"/>
        <v>-2.2171761573570876</v>
      </c>
      <c r="I555">
        <f t="shared" si="60"/>
        <v>40.032379700065199</v>
      </c>
      <c r="J555" t="b">
        <f t="shared" si="61"/>
        <v>0</v>
      </c>
      <c r="K555">
        <f t="shared" si="62"/>
        <v>4601</v>
      </c>
    </row>
    <row r="556" spans="1:11" x14ac:dyDescent="0.3">
      <c r="A556" s="1">
        <v>42192</v>
      </c>
      <c r="B556">
        <v>135753.766</v>
      </c>
      <c r="C556">
        <v>143799.5987</v>
      </c>
      <c r="D556">
        <v>3593</v>
      </c>
      <c r="E556">
        <f t="shared" si="56"/>
        <v>37.782846089618701</v>
      </c>
      <c r="F556">
        <f t="shared" si="57"/>
        <v>-8045.832699999999</v>
      </c>
      <c r="G556">
        <f t="shared" si="58"/>
        <v>-5.9267841600799488E-2</v>
      </c>
      <c r="H556">
        <f t="shared" si="59"/>
        <v>-2.2393077372669126</v>
      </c>
      <c r="I556">
        <f t="shared" si="60"/>
        <v>40.022153826885614</v>
      </c>
      <c r="J556" t="b">
        <f t="shared" si="61"/>
        <v>0</v>
      </c>
      <c r="K556">
        <f t="shared" si="62"/>
        <v>3593</v>
      </c>
    </row>
    <row r="557" spans="1:11" x14ac:dyDescent="0.3">
      <c r="A557" s="1">
        <v>42223</v>
      </c>
      <c r="B557">
        <v>84426.509409999999</v>
      </c>
      <c r="C557">
        <v>84588.963040000002</v>
      </c>
      <c r="D557">
        <v>2114</v>
      </c>
      <c r="E557">
        <f t="shared" si="56"/>
        <v>39.936854025543994</v>
      </c>
      <c r="F557">
        <f t="shared" si="57"/>
        <v>-162.45363000000361</v>
      </c>
      <c r="G557">
        <f t="shared" si="58"/>
        <v>-1.9242016652741255E-3</v>
      </c>
      <c r="H557">
        <f t="shared" si="59"/>
        <v>-7.6846561021760351E-2</v>
      </c>
      <c r="I557">
        <f t="shared" si="60"/>
        <v>40.013700586565754</v>
      </c>
      <c r="J557" t="b">
        <f t="shared" si="61"/>
        <v>0</v>
      </c>
      <c r="K557">
        <f t="shared" si="62"/>
        <v>2114</v>
      </c>
    </row>
    <row r="558" spans="1:11" x14ac:dyDescent="0.3">
      <c r="A558" s="1">
        <v>42254</v>
      </c>
      <c r="B558">
        <v>70815.190289999999</v>
      </c>
      <c r="C558">
        <v>71913.068580000006</v>
      </c>
      <c r="D558">
        <v>1797</v>
      </c>
      <c r="E558">
        <f t="shared" si="56"/>
        <v>39.407451469115195</v>
      </c>
      <c r="F558">
        <f t="shared" si="57"/>
        <v>-1097.8782900000078</v>
      </c>
      <c r="G558">
        <f t="shared" si="58"/>
        <v>-1.5503429214890384E-2</v>
      </c>
      <c r="H558">
        <f t="shared" si="59"/>
        <v>-0.61095063439065456</v>
      </c>
      <c r="I558">
        <f t="shared" si="60"/>
        <v>40.018402103505849</v>
      </c>
      <c r="J558" t="b">
        <f t="shared" si="61"/>
        <v>0</v>
      </c>
      <c r="K558">
        <f t="shared" si="62"/>
        <v>1797</v>
      </c>
    </row>
    <row r="559" spans="1:11" x14ac:dyDescent="0.3">
      <c r="A559" s="1">
        <v>42284</v>
      </c>
      <c r="B559">
        <v>125983.15180000001</v>
      </c>
      <c r="C559">
        <v>127884.58719999999</v>
      </c>
      <c r="D559">
        <v>3195</v>
      </c>
      <c r="E559">
        <f t="shared" si="56"/>
        <v>39.431346416275431</v>
      </c>
      <c r="F559">
        <f t="shared" si="57"/>
        <v>-1901.4353999999876</v>
      </c>
      <c r="G559">
        <f t="shared" si="58"/>
        <v>-1.5092775286480708E-2</v>
      </c>
      <c r="H559">
        <f t="shared" si="59"/>
        <v>-0.59512845070422316</v>
      </c>
      <c r="I559">
        <f t="shared" si="60"/>
        <v>40.026474866979655</v>
      </c>
      <c r="J559" t="b">
        <f t="shared" si="61"/>
        <v>0</v>
      </c>
      <c r="K559">
        <f t="shared" si="62"/>
        <v>3195</v>
      </c>
    </row>
    <row r="560" spans="1:11" x14ac:dyDescent="0.3">
      <c r="A560" s="1">
        <v>42315</v>
      </c>
      <c r="B560">
        <v>142378.18400000001</v>
      </c>
      <c r="C560">
        <v>143924.56510000001</v>
      </c>
      <c r="D560">
        <v>3595</v>
      </c>
      <c r="E560">
        <f t="shared" si="56"/>
        <v>39.604501808066765</v>
      </c>
      <c r="F560">
        <f t="shared" si="57"/>
        <v>-1546.3810999999987</v>
      </c>
      <c r="G560">
        <f t="shared" si="58"/>
        <v>-1.0861081779214143E-2</v>
      </c>
      <c r="H560">
        <f t="shared" si="59"/>
        <v>-0.43014773296244613</v>
      </c>
      <c r="I560">
        <f t="shared" si="60"/>
        <v>40.034649541029211</v>
      </c>
      <c r="J560" t="b">
        <f t="shared" si="61"/>
        <v>0</v>
      </c>
      <c r="K560">
        <f t="shared" si="62"/>
        <v>3595</v>
      </c>
    </row>
    <row r="561" spans="1:11" x14ac:dyDescent="0.3">
      <c r="A561" s="1">
        <v>42345</v>
      </c>
      <c r="B561">
        <v>57427.680710000001</v>
      </c>
      <c r="C561">
        <v>58723.040529999998</v>
      </c>
      <c r="D561">
        <v>1467</v>
      </c>
      <c r="E561">
        <f t="shared" si="56"/>
        <v>39.146339952283576</v>
      </c>
      <c r="F561">
        <f t="shared" si="57"/>
        <v>-1295.3598199999979</v>
      </c>
      <c r="G561">
        <f t="shared" si="58"/>
        <v>-2.2556366615976434E-2</v>
      </c>
      <c r="H561">
        <f t="shared" si="59"/>
        <v>-0.8829991956373533</v>
      </c>
      <c r="I561">
        <f t="shared" si="60"/>
        <v>40.029339147920929</v>
      </c>
      <c r="J561" t="b">
        <f t="shared" si="61"/>
        <v>0</v>
      </c>
      <c r="K561">
        <f t="shared" si="62"/>
        <v>1467</v>
      </c>
    </row>
    <row r="562" spans="1:11" x14ac:dyDescent="0.3">
      <c r="A562" t="s">
        <v>336</v>
      </c>
      <c r="B562">
        <v>63331.330999999998</v>
      </c>
      <c r="C562">
        <v>64690.059070000003</v>
      </c>
      <c r="D562">
        <v>1610</v>
      </c>
      <c r="E562">
        <f t="shared" si="56"/>
        <v>39.336230434782607</v>
      </c>
      <c r="F562">
        <f t="shared" si="57"/>
        <v>-1358.7280700000047</v>
      </c>
      <c r="G562">
        <f t="shared" si="58"/>
        <v>-2.145427939924403E-2</v>
      </c>
      <c r="H562">
        <f t="shared" si="59"/>
        <v>-0.84393047826087297</v>
      </c>
      <c r="I562">
        <f t="shared" si="60"/>
        <v>40.18016091304348</v>
      </c>
      <c r="J562" t="b">
        <f t="shared" si="61"/>
        <v>0</v>
      </c>
      <c r="K562">
        <f t="shared" si="62"/>
        <v>1610</v>
      </c>
    </row>
    <row r="563" spans="1:11" x14ac:dyDescent="0.3">
      <c r="A563" t="s">
        <v>337</v>
      </c>
      <c r="B563">
        <v>51241.028550000003</v>
      </c>
      <c r="C563">
        <v>52509.916219999999</v>
      </c>
      <c r="D563">
        <v>1307</v>
      </c>
      <c r="E563">
        <f t="shared" si="56"/>
        <v>39.205071576128539</v>
      </c>
      <c r="F563">
        <f t="shared" si="57"/>
        <v>-1268.8876699999964</v>
      </c>
      <c r="G563">
        <f t="shared" si="58"/>
        <v>-2.4763118655236213E-2</v>
      </c>
      <c r="H563">
        <f t="shared" si="59"/>
        <v>-0.97083983932670037</v>
      </c>
      <c r="I563">
        <f t="shared" si="60"/>
        <v>40.175911415455239</v>
      </c>
      <c r="J563" t="b">
        <f t="shared" si="61"/>
        <v>0</v>
      </c>
      <c r="K563">
        <f t="shared" si="62"/>
        <v>1307</v>
      </c>
    </row>
    <row r="564" spans="1:11" x14ac:dyDescent="0.3">
      <c r="A564" t="s">
        <v>338</v>
      </c>
      <c r="B564">
        <v>80326.44081</v>
      </c>
      <c r="C564">
        <v>81730.270699999994</v>
      </c>
      <c r="D564">
        <v>2050</v>
      </c>
      <c r="E564">
        <f t="shared" si="56"/>
        <v>39.183629663414635</v>
      </c>
      <c r="F564">
        <f t="shared" si="57"/>
        <v>-1403.8298899999936</v>
      </c>
      <c r="G564">
        <f t="shared" si="58"/>
        <v>-1.7476560343567819E-2</v>
      </c>
      <c r="H564">
        <f t="shared" si="59"/>
        <v>-0.68479506829267933</v>
      </c>
      <c r="I564">
        <f t="shared" si="60"/>
        <v>39.868424731707314</v>
      </c>
      <c r="J564" t="b">
        <f t="shared" si="61"/>
        <v>0</v>
      </c>
      <c r="K564">
        <f t="shared" si="62"/>
        <v>2050</v>
      </c>
    </row>
    <row r="565" spans="1:11" x14ac:dyDescent="0.3">
      <c r="A565" t="s">
        <v>339</v>
      </c>
      <c r="B565">
        <v>71912.565730000002</v>
      </c>
      <c r="C565">
        <v>73762.62917</v>
      </c>
      <c r="D565">
        <v>1849</v>
      </c>
      <c r="E565">
        <f t="shared" si="56"/>
        <v>38.892680221741486</v>
      </c>
      <c r="F565">
        <f t="shared" si="57"/>
        <v>-1850.0634399999981</v>
      </c>
      <c r="G565">
        <f t="shared" si="58"/>
        <v>-2.5726566994510681E-2</v>
      </c>
      <c r="H565">
        <f t="shared" si="59"/>
        <v>-1.0005751433207095</v>
      </c>
      <c r="I565">
        <f t="shared" si="60"/>
        <v>39.893255365062195</v>
      </c>
      <c r="J565" t="b">
        <f t="shared" si="61"/>
        <v>0</v>
      </c>
      <c r="K565">
        <f t="shared" si="62"/>
        <v>1849</v>
      </c>
    </row>
    <row r="566" spans="1:11" x14ac:dyDescent="0.3">
      <c r="A566" t="s">
        <v>340</v>
      </c>
      <c r="B566">
        <v>119204.3095</v>
      </c>
      <c r="C566">
        <v>122669.6994</v>
      </c>
      <c r="D566">
        <v>3070</v>
      </c>
      <c r="E566">
        <f t="shared" si="56"/>
        <v>38.828765309446254</v>
      </c>
      <c r="F566">
        <f t="shared" si="57"/>
        <v>-3465.3898999999947</v>
      </c>
      <c r="G566">
        <f t="shared" si="58"/>
        <v>-2.9071011899951441E-2</v>
      </c>
      <c r="H566">
        <f t="shared" si="59"/>
        <v>-1.128791498371335</v>
      </c>
      <c r="I566">
        <f t="shared" si="60"/>
        <v>39.957556807817589</v>
      </c>
      <c r="J566" t="b">
        <f t="shared" si="61"/>
        <v>0</v>
      </c>
      <c r="K566">
        <f t="shared" si="62"/>
        <v>3070</v>
      </c>
    </row>
    <row r="567" spans="1:11" x14ac:dyDescent="0.3">
      <c r="A567" t="s">
        <v>341</v>
      </c>
      <c r="B567">
        <v>129441.2787</v>
      </c>
      <c r="C567">
        <v>132493.43150000001</v>
      </c>
      <c r="D567">
        <v>3322</v>
      </c>
      <c r="E567">
        <f t="shared" si="56"/>
        <v>38.964864148103551</v>
      </c>
      <c r="F567">
        <f t="shared" si="57"/>
        <v>-3052.1528000000108</v>
      </c>
      <c r="G567">
        <f t="shared" si="58"/>
        <v>-2.3579439500700874E-2</v>
      </c>
      <c r="H567">
        <f t="shared" si="59"/>
        <v>-0.91876965683323419</v>
      </c>
      <c r="I567">
        <f t="shared" si="60"/>
        <v>39.883633804936785</v>
      </c>
      <c r="J567" t="b">
        <f t="shared" si="61"/>
        <v>0</v>
      </c>
      <c r="K567">
        <f t="shared" si="62"/>
        <v>3322</v>
      </c>
    </row>
    <row r="568" spans="1:11" x14ac:dyDescent="0.3">
      <c r="A568" t="s">
        <v>342</v>
      </c>
      <c r="B568">
        <v>77645.749939999994</v>
      </c>
      <c r="C568">
        <v>79555.634739999994</v>
      </c>
      <c r="D568">
        <v>1982</v>
      </c>
      <c r="E568">
        <f t="shared" si="56"/>
        <v>39.175454056508578</v>
      </c>
      <c r="F568">
        <f t="shared" si="57"/>
        <v>-1909.8847999999998</v>
      </c>
      <c r="G568">
        <f t="shared" si="58"/>
        <v>-2.4597415846660569E-2</v>
      </c>
      <c r="H568">
        <f t="shared" si="59"/>
        <v>-0.9636149344096836</v>
      </c>
      <c r="I568">
        <f t="shared" si="60"/>
        <v>40.139068990918261</v>
      </c>
      <c r="J568" t="b">
        <f t="shared" si="61"/>
        <v>0</v>
      </c>
      <c r="K568">
        <f t="shared" si="62"/>
        <v>1982</v>
      </c>
    </row>
    <row r="569" spans="1:11" x14ac:dyDescent="0.3">
      <c r="A569" t="s">
        <v>343</v>
      </c>
      <c r="B569">
        <v>69926.65036</v>
      </c>
      <c r="C569">
        <v>71362.51784</v>
      </c>
      <c r="D569">
        <v>1787</v>
      </c>
      <c r="E569">
        <f t="shared" si="56"/>
        <v>39.13075006155568</v>
      </c>
      <c r="F569">
        <f t="shared" si="57"/>
        <v>-1435.8674800000008</v>
      </c>
      <c r="G569">
        <f t="shared" si="58"/>
        <v>-2.0533909069114474E-2</v>
      </c>
      <c r="H569">
        <f t="shared" si="59"/>
        <v>-0.80350726357023206</v>
      </c>
      <c r="I569">
        <f t="shared" si="60"/>
        <v>39.934257325125913</v>
      </c>
      <c r="J569" t="b">
        <f t="shared" si="61"/>
        <v>0</v>
      </c>
      <c r="K569">
        <f t="shared" si="62"/>
        <v>1787</v>
      </c>
    </row>
    <row r="570" spans="1:11" x14ac:dyDescent="0.3">
      <c r="A570" t="s">
        <v>344</v>
      </c>
      <c r="B570">
        <v>71973.044299999994</v>
      </c>
      <c r="C570">
        <v>73851.788400000005</v>
      </c>
      <c r="D570">
        <v>1846</v>
      </c>
      <c r="E570">
        <f t="shared" si="56"/>
        <v>38.988648049837487</v>
      </c>
      <c r="F570">
        <f t="shared" si="57"/>
        <v>-1878.7441000000108</v>
      </c>
      <c r="G570">
        <f t="shared" si="58"/>
        <v>-2.6103440784983039E-2</v>
      </c>
      <c r="H570">
        <f t="shared" si="59"/>
        <v>-1.0177378656554765</v>
      </c>
      <c r="I570">
        <f t="shared" si="60"/>
        <v>40.006385915492963</v>
      </c>
      <c r="J570" t="b">
        <f t="shared" si="61"/>
        <v>0</v>
      </c>
      <c r="K570">
        <f t="shared" si="62"/>
        <v>1846</v>
      </c>
    </row>
    <row r="571" spans="1:11" x14ac:dyDescent="0.3">
      <c r="A571" t="s">
        <v>345</v>
      </c>
      <c r="B571">
        <v>44304.898359999999</v>
      </c>
      <c r="C571">
        <v>45468.83698</v>
      </c>
      <c r="D571">
        <v>1142</v>
      </c>
      <c r="E571">
        <f t="shared" si="56"/>
        <v>38.795882977232921</v>
      </c>
      <c r="F571">
        <f t="shared" si="57"/>
        <v>-1163.9386200000008</v>
      </c>
      <c r="G571">
        <f t="shared" si="58"/>
        <v>-2.6271104620134846E-2</v>
      </c>
      <c r="H571">
        <f t="shared" si="59"/>
        <v>-1.0192107005253987</v>
      </c>
      <c r="I571">
        <f t="shared" si="60"/>
        <v>39.81509367775832</v>
      </c>
      <c r="J571" t="b">
        <f t="shared" si="61"/>
        <v>0</v>
      </c>
      <c r="K571">
        <f t="shared" si="62"/>
        <v>1142</v>
      </c>
    </row>
    <row r="572" spans="1:11" x14ac:dyDescent="0.3">
      <c r="A572" t="s">
        <v>346</v>
      </c>
      <c r="B572">
        <v>66799.723729999998</v>
      </c>
      <c r="C572">
        <v>69323.647870000001</v>
      </c>
      <c r="D572">
        <v>1734</v>
      </c>
      <c r="E572">
        <f t="shared" si="56"/>
        <v>38.523485426758938</v>
      </c>
      <c r="F572">
        <f t="shared" si="57"/>
        <v>-2523.9241400000028</v>
      </c>
      <c r="G572">
        <f t="shared" si="58"/>
        <v>-3.7783451772967429E-2</v>
      </c>
      <c r="H572">
        <f t="shared" si="59"/>
        <v>-1.4555502537485623</v>
      </c>
      <c r="I572">
        <f t="shared" si="60"/>
        <v>39.979035680507501</v>
      </c>
      <c r="J572" t="b">
        <f t="shared" si="61"/>
        <v>0</v>
      </c>
      <c r="K572">
        <f t="shared" si="62"/>
        <v>1734</v>
      </c>
    </row>
    <row r="573" spans="1:11" x14ac:dyDescent="0.3">
      <c r="A573" t="s">
        <v>347</v>
      </c>
      <c r="B573">
        <v>125689.5928</v>
      </c>
      <c r="C573">
        <v>130428.2264</v>
      </c>
      <c r="D573">
        <v>3259</v>
      </c>
      <c r="E573">
        <f t="shared" si="56"/>
        <v>38.566920159558144</v>
      </c>
      <c r="F573">
        <f t="shared" si="57"/>
        <v>-4738.633600000001</v>
      </c>
      <c r="G573">
        <f t="shared" si="58"/>
        <v>-3.7701081644366669E-2</v>
      </c>
      <c r="H573">
        <f t="shared" si="59"/>
        <v>-1.4540146057072718</v>
      </c>
      <c r="I573">
        <f t="shared" si="60"/>
        <v>40.020934765265416</v>
      </c>
      <c r="J573" t="b">
        <f t="shared" si="61"/>
        <v>0</v>
      </c>
      <c r="K573">
        <f t="shared" si="62"/>
        <v>3259</v>
      </c>
    </row>
    <row r="574" spans="1:11" x14ac:dyDescent="0.3">
      <c r="A574" t="s">
        <v>348</v>
      </c>
      <c r="B574">
        <v>138624.94500000001</v>
      </c>
      <c r="C574">
        <v>143537.3952</v>
      </c>
      <c r="D574">
        <v>3572</v>
      </c>
      <c r="E574">
        <f t="shared" si="56"/>
        <v>38.80877519596865</v>
      </c>
      <c r="F574">
        <f t="shared" si="57"/>
        <v>-4912.450199999992</v>
      </c>
      <c r="G574">
        <f t="shared" si="58"/>
        <v>-3.5436985745963628E-2</v>
      </c>
      <c r="H574">
        <f t="shared" si="59"/>
        <v>-1.3752660134378445</v>
      </c>
      <c r="I574">
        <f t="shared" si="60"/>
        <v>40.184041209406494</v>
      </c>
      <c r="J574" t="b">
        <f t="shared" si="61"/>
        <v>0</v>
      </c>
      <c r="K574">
        <f t="shared" si="62"/>
        <v>3572</v>
      </c>
    </row>
    <row r="575" spans="1:11" x14ac:dyDescent="0.3">
      <c r="A575" t="s">
        <v>349</v>
      </c>
      <c r="B575">
        <v>81715.045329999994</v>
      </c>
      <c r="C575">
        <v>85089.223429999998</v>
      </c>
      <c r="D575">
        <v>2109</v>
      </c>
      <c r="E575">
        <f t="shared" si="56"/>
        <v>38.745872607871028</v>
      </c>
      <c r="F575">
        <f t="shared" si="57"/>
        <v>-3374.1781000000046</v>
      </c>
      <c r="G575">
        <f t="shared" si="58"/>
        <v>-4.1292005485325779E-2</v>
      </c>
      <c r="H575">
        <f t="shared" si="59"/>
        <v>-1.5998947842579412</v>
      </c>
      <c r="I575">
        <f t="shared" si="60"/>
        <v>40.34576739212897</v>
      </c>
      <c r="J575" t="b">
        <f t="shared" si="61"/>
        <v>0</v>
      </c>
      <c r="K575">
        <f t="shared" si="62"/>
        <v>2109</v>
      </c>
    </row>
    <row r="576" spans="1:11" x14ac:dyDescent="0.3">
      <c r="A576" t="s">
        <v>350</v>
      </c>
      <c r="B576">
        <v>86842.861359999995</v>
      </c>
      <c r="C576">
        <v>90242.794099999999</v>
      </c>
      <c r="D576">
        <v>2242</v>
      </c>
      <c r="E576">
        <f t="shared" si="56"/>
        <v>38.734550115967885</v>
      </c>
      <c r="F576">
        <f t="shared" si="57"/>
        <v>-3399.9327400000038</v>
      </c>
      <c r="G576">
        <f t="shared" si="58"/>
        <v>-3.9150399776739966E-2</v>
      </c>
      <c r="H576">
        <f t="shared" si="59"/>
        <v>-1.5164731222123109</v>
      </c>
      <c r="I576">
        <f t="shared" si="60"/>
        <v>40.251023238180196</v>
      </c>
      <c r="J576" t="b">
        <f t="shared" si="61"/>
        <v>0</v>
      </c>
      <c r="K576">
        <f t="shared" si="62"/>
        <v>2242</v>
      </c>
    </row>
    <row r="577" spans="1:11" x14ac:dyDescent="0.3">
      <c r="A577" t="s">
        <v>351</v>
      </c>
      <c r="B577">
        <v>56976.785279999996</v>
      </c>
      <c r="C577">
        <v>59094.076860000001</v>
      </c>
      <c r="D577">
        <v>1474</v>
      </c>
      <c r="E577">
        <f t="shared" si="56"/>
        <v>38.65453546811397</v>
      </c>
      <c r="F577">
        <f t="shared" si="57"/>
        <v>-2117.2915800000046</v>
      </c>
      <c r="G577">
        <f t="shared" si="58"/>
        <v>-3.7160600928870177E-2</v>
      </c>
      <c r="H577">
        <f t="shared" si="59"/>
        <v>-1.4364257666214471</v>
      </c>
      <c r="I577">
        <f t="shared" si="60"/>
        <v>40.090961234735417</v>
      </c>
      <c r="J577" t="b">
        <f t="shared" si="61"/>
        <v>0</v>
      </c>
      <c r="K577">
        <f t="shared" si="62"/>
        <v>1474</v>
      </c>
    </row>
    <row r="578" spans="1:11" x14ac:dyDescent="0.3">
      <c r="A578" t="s">
        <v>352</v>
      </c>
      <c r="B578">
        <v>53433.668030000001</v>
      </c>
      <c r="C578">
        <v>55516.525560000002</v>
      </c>
      <c r="D578">
        <v>1381</v>
      </c>
      <c r="E578">
        <f t="shared" si="56"/>
        <v>38.692011607530773</v>
      </c>
      <c r="F578">
        <f t="shared" si="57"/>
        <v>-2082.8575300000011</v>
      </c>
      <c r="G578">
        <f t="shared" si="58"/>
        <v>-3.898024610308605E-2</v>
      </c>
      <c r="H578">
        <f t="shared" si="59"/>
        <v>-1.5082241346850154</v>
      </c>
      <c r="I578">
        <f t="shared" si="60"/>
        <v>40.200235742215789</v>
      </c>
      <c r="J578" t="b">
        <f t="shared" si="61"/>
        <v>0</v>
      </c>
      <c r="K578">
        <f t="shared" si="62"/>
        <v>1381</v>
      </c>
    </row>
    <row r="579" spans="1:11" x14ac:dyDescent="0.3">
      <c r="A579" t="s">
        <v>353</v>
      </c>
      <c r="B579">
        <v>55134.081819999999</v>
      </c>
      <c r="C579">
        <v>57064.750699999997</v>
      </c>
      <c r="D579">
        <v>1423</v>
      </c>
      <c r="E579">
        <f t="shared" ref="E579:E642" si="63">B579/D579</f>
        <v>38.744962628250178</v>
      </c>
      <c r="F579">
        <f t="shared" ref="F579:F642" si="64">B579-C579</f>
        <v>-1930.6688799999974</v>
      </c>
      <c r="G579">
        <f t="shared" ref="G579:H642" si="65">F579/B579</f>
        <v>-3.5017702594616229E-2</v>
      </c>
      <c r="H579">
        <f t="shared" ref="H579:H642" si="66">E579-I579</f>
        <v>-1.3567595783555788</v>
      </c>
      <c r="I579">
        <f t="shared" ref="I579:I642" si="67">C579/D579</f>
        <v>40.101722206605757</v>
      </c>
      <c r="J579" t="b">
        <f t="shared" ref="J579:J642" si="68">H579&gt;0</f>
        <v>0</v>
      </c>
      <c r="K579">
        <f t="shared" ref="K579:K642" si="69">D579</f>
        <v>1423</v>
      </c>
    </row>
    <row r="580" spans="1:11" x14ac:dyDescent="0.3">
      <c r="A580" t="s">
        <v>354</v>
      </c>
      <c r="B580">
        <v>145033.61079999999</v>
      </c>
      <c r="C580">
        <v>149876.87330000001</v>
      </c>
      <c r="D580">
        <v>3740</v>
      </c>
      <c r="E580">
        <f t="shared" si="63"/>
        <v>38.779040320855614</v>
      </c>
      <c r="F580">
        <f t="shared" si="64"/>
        <v>-4843.2625000000116</v>
      </c>
      <c r="G580">
        <f t="shared" si="65"/>
        <v>-3.3394069645544616E-2</v>
      </c>
      <c r="H580">
        <f t="shared" si="66"/>
        <v>-1.2949899732620338</v>
      </c>
      <c r="I580">
        <f t="shared" si="67"/>
        <v>40.074030294117648</v>
      </c>
      <c r="J580" t="b">
        <f t="shared" si="68"/>
        <v>0</v>
      </c>
      <c r="K580">
        <f t="shared" si="69"/>
        <v>3740</v>
      </c>
    </row>
    <row r="581" spans="1:11" x14ac:dyDescent="0.3">
      <c r="A581" s="1">
        <v>42012</v>
      </c>
      <c r="B581">
        <v>173306.90650000001</v>
      </c>
      <c r="C581">
        <v>178699.97589999999</v>
      </c>
      <c r="D581">
        <v>4453</v>
      </c>
      <c r="E581">
        <f t="shared" si="63"/>
        <v>38.919134628340444</v>
      </c>
      <c r="F581">
        <f t="shared" si="64"/>
        <v>-5393.0693999999785</v>
      </c>
      <c r="G581">
        <f t="shared" si="65"/>
        <v>-3.1118606343596457E-2</v>
      </c>
      <c r="H581">
        <f t="shared" si="66"/>
        <v>-1.211109229732763</v>
      </c>
      <c r="I581">
        <f t="shared" si="67"/>
        <v>40.130243858073207</v>
      </c>
      <c r="J581" t="b">
        <f t="shared" si="68"/>
        <v>0</v>
      </c>
      <c r="K581">
        <f t="shared" si="69"/>
        <v>4453</v>
      </c>
    </row>
    <row r="582" spans="1:11" x14ac:dyDescent="0.3">
      <c r="A582" s="1">
        <v>42043</v>
      </c>
      <c r="B582">
        <v>88154.338709999996</v>
      </c>
      <c r="C582">
        <v>90828.661699999997</v>
      </c>
      <c r="D582">
        <v>2258</v>
      </c>
      <c r="E582">
        <f t="shared" si="63"/>
        <v>39.040894025686448</v>
      </c>
      <c r="F582">
        <f t="shared" si="64"/>
        <v>-2674.3229900000006</v>
      </c>
      <c r="G582">
        <f t="shared" si="65"/>
        <v>-3.0336827762927027E-2</v>
      </c>
      <c r="H582">
        <f t="shared" si="66"/>
        <v>-1.1843768777679315</v>
      </c>
      <c r="I582">
        <f t="shared" si="67"/>
        <v>40.22527090345438</v>
      </c>
      <c r="J582" t="b">
        <f t="shared" si="68"/>
        <v>0</v>
      </c>
      <c r="K582">
        <f t="shared" si="69"/>
        <v>2258</v>
      </c>
    </row>
    <row r="583" spans="1:11" x14ac:dyDescent="0.3">
      <c r="A583" s="1">
        <v>42071</v>
      </c>
      <c r="B583">
        <v>81142.027849999999</v>
      </c>
      <c r="C583">
        <v>83114.576809999999</v>
      </c>
      <c r="D583">
        <v>2074</v>
      </c>
      <c r="E583">
        <f t="shared" si="63"/>
        <v>39.123446407907423</v>
      </c>
      <c r="F583">
        <f t="shared" si="64"/>
        <v>-1972.5489600000001</v>
      </c>
      <c r="G583">
        <f t="shared" si="65"/>
        <v>-2.4309830703842832E-2</v>
      </c>
      <c r="H583">
        <f t="shared" si="66"/>
        <v>-0.95108435872710118</v>
      </c>
      <c r="I583">
        <f t="shared" si="67"/>
        <v>40.074530766634524</v>
      </c>
      <c r="J583" t="b">
        <f t="shared" si="68"/>
        <v>0</v>
      </c>
      <c r="K583">
        <f t="shared" si="69"/>
        <v>2074</v>
      </c>
    </row>
    <row r="584" spans="1:11" x14ac:dyDescent="0.3">
      <c r="A584" s="1">
        <v>42102</v>
      </c>
      <c r="B584">
        <v>77672.88278</v>
      </c>
      <c r="C584">
        <v>80417.746440000003</v>
      </c>
      <c r="D584">
        <v>2007</v>
      </c>
      <c r="E584">
        <f t="shared" si="63"/>
        <v>38.700987932237169</v>
      </c>
      <c r="F584">
        <f t="shared" si="64"/>
        <v>-2744.8636600000027</v>
      </c>
      <c r="G584">
        <f t="shared" si="65"/>
        <v>-3.5338763822820002E-2</v>
      </c>
      <c r="H584">
        <f t="shared" si="66"/>
        <v>-1.3676450722471358</v>
      </c>
      <c r="I584">
        <f t="shared" si="67"/>
        <v>40.068633004484305</v>
      </c>
      <c r="J584" t="b">
        <f t="shared" si="68"/>
        <v>0</v>
      </c>
      <c r="K584">
        <f t="shared" si="69"/>
        <v>2007</v>
      </c>
    </row>
    <row r="585" spans="1:11" x14ac:dyDescent="0.3">
      <c r="A585" s="1">
        <v>42132</v>
      </c>
      <c r="B585">
        <v>75483.422550000003</v>
      </c>
      <c r="C585">
        <v>78024.284679999997</v>
      </c>
      <c r="D585">
        <v>1948</v>
      </c>
      <c r="E585">
        <f t="shared" si="63"/>
        <v>38.749190220739223</v>
      </c>
      <c r="F585">
        <f t="shared" si="64"/>
        <v>-2540.8621299999941</v>
      </c>
      <c r="G585">
        <f t="shared" si="65"/>
        <v>-3.366119399682671E-2</v>
      </c>
      <c r="H585">
        <f t="shared" si="66"/>
        <v>-1.3043440092402392</v>
      </c>
      <c r="I585">
        <f t="shared" si="67"/>
        <v>40.053534229979462</v>
      </c>
      <c r="J585" t="b">
        <f t="shared" si="68"/>
        <v>0</v>
      </c>
      <c r="K585">
        <f t="shared" si="69"/>
        <v>1948</v>
      </c>
    </row>
    <row r="586" spans="1:11" x14ac:dyDescent="0.3">
      <c r="A586" s="1">
        <v>42163</v>
      </c>
      <c r="B586">
        <v>74354.570099999997</v>
      </c>
      <c r="C586">
        <v>76978.305240000002</v>
      </c>
      <c r="D586">
        <v>1922</v>
      </c>
      <c r="E586">
        <f t="shared" si="63"/>
        <v>38.686040634755464</v>
      </c>
      <c r="F586">
        <f t="shared" si="64"/>
        <v>-2623.7351400000043</v>
      </c>
      <c r="G586">
        <f t="shared" si="65"/>
        <v>-3.528680397817275E-2</v>
      </c>
      <c r="H586">
        <f t="shared" si="66"/>
        <v>-1.36510673257024</v>
      </c>
      <c r="I586">
        <f t="shared" si="67"/>
        <v>40.051147367325704</v>
      </c>
      <c r="J586" t="b">
        <f t="shared" si="68"/>
        <v>0</v>
      </c>
      <c r="K586">
        <f t="shared" si="69"/>
        <v>1922</v>
      </c>
    </row>
    <row r="587" spans="1:11" x14ac:dyDescent="0.3">
      <c r="A587" s="1">
        <v>42193</v>
      </c>
      <c r="B587">
        <v>120326.8763</v>
      </c>
      <c r="C587">
        <v>123707.7616</v>
      </c>
      <c r="D587">
        <v>3088</v>
      </c>
      <c r="E587">
        <f t="shared" si="63"/>
        <v>38.965957351036273</v>
      </c>
      <c r="F587">
        <f t="shared" si="64"/>
        <v>-3380.8852999999945</v>
      </c>
      <c r="G587">
        <f t="shared" si="65"/>
        <v>-2.8097507422786761E-2</v>
      </c>
      <c r="H587">
        <f t="shared" si="66"/>
        <v>-1.0948462759067326</v>
      </c>
      <c r="I587">
        <f t="shared" si="67"/>
        <v>40.060803626943006</v>
      </c>
      <c r="J587" t="b">
        <f t="shared" si="68"/>
        <v>0</v>
      </c>
      <c r="K587">
        <f t="shared" si="69"/>
        <v>3088</v>
      </c>
    </row>
    <row r="588" spans="1:11" x14ac:dyDescent="0.3">
      <c r="A588" s="1">
        <v>42224</v>
      </c>
      <c r="B588">
        <v>131867.99350000001</v>
      </c>
      <c r="C588">
        <v>135721.42600000001</v>
      </c>
      <c r="D588">
        <v>3388</v>
      </c>
      <c r="E588">
        <f t="shared" si="63"/>
        <v>38.922076003541918</v>
      </c>
      <c r="F588">
        <f t="shared" si="64"/>
        <v>-3853.4324999999953</v>
      </c>
      <c r="G588">
        <f t="shared" si="65"/>
        <v>-2.9221893787289597E-2</v>
      </c>
      <c r="H588">
        <f t="shared" si="66"/>
        <v>-1.1373767709563154</v>
      </c>
      <c r="I588">
        <f t="shared" si="67"/>
        <v>40.059452774498233</v>
      </c>
      <c r="J588" t="b">
        <f t="shared" si="68"/>
        <v>0</v>
      </c>
      <c r="K588">
        <f t="shared" si="69"/>
        <v>3388</v>
      </c>
    </row>
    <row r="589" spans="1:11" x14ac:dyDescent="0.3">
      <c r="A589" s="1">
        <v>42255</v>
      </c>
      <c r="B589">
        <v>75504.002739999996</v>
      </c>
      <c r="C589">
        <v>77978.694470000002</v>
      </c>
      <c r="D589">
        <v>1944</v>
      </c>
      <c r="E589">
        <f t="shared" si="63"/>
        <v>38.839507582304527</v>
      </c>
      <c r="F589">
        <f t="shared" si="64"/>
        <v>-2474.6917300000059</v>
      </c>
      <c r="G589">
        <f t="shared" si="65"/>
        <v>-3.2775636260261212E-2</v>
      </c>
      <c r="H589">
        <f t="shared" si="66"/>
        <v>-1.2729895730452654</v>
      </c>
      <c r="I589">
        <f t="shared" si="67"/>
        <v>40.112497155349793</v>
      </c>
      <c r="J589" t="b">
        <f t="shared" si="68"/>
        <v>0</v>
      </c>
      <c r="K589">
        <f t="shared" si="69"/>
        <v>1944</v>
      </c>
    </row>
    <row r="590" spans="1:11" x14ac:dyDescent="0.3">
      <c r="A590" s="1">
        <v>42285</v>
      </c>
      <c r="B590">
        <v>69968.077699999994</v>
      </c>
      <c r="C590">
        <v>72665.725529999996</v>
      </c>
      <c r="D590">
        <v>1812</v>
      </c>
      <c r="E590">
        <f t="shared" si="63"/>
        <v>38.613729415011036</v>
      </c>
      <c r="F590">
        <f t="shared" si="64"/>
        <v>-2697.6478300000017</v>
      </c>
      <c r="G590">
        <f t="shared" si="65"/>
        <v>-3.8555408676034013E-2</v>
      </c>
      <c r="H590">
        <f t="shared" si="66"/>
        <v>-1.4887681181015466</v>
      </c>
      <c r="I590">
        <f t="shared" si="67"/>
        <v>40.102497533112583</v>
      </c>
      <c r="J590" t="b">
        <f t="shared" si="68"/>
        <v>0</v>
      </c>
      <c r="K590">
        <f t="shared" si="69"/>
        <v>1812</v>
      </c>
    </row>
    <row r="591" spans="1:11" x14ac:dyDescent="0.3">
      <c r="A591" s="1">
        <v>42316</v>
      </c>
      <c r="B591">
        <v>60187.14905</v>
      </c>
      <c r="C591">
        <v>62538.493280000002</v>
      </c>
      <c r="D591">
        <v>1563</v>
      </c>
      <c r="E591">
        <f t="shared" si="63"/>
        <v>38.507453007037746</v>
      </c>
      <c r="F591">
        <f t="shared" si="64"/>
        <v>-2351.3442300000024</v>
      </c>
      <c r="G591">
        <f t="shared" si="65"/>
        <v>-3.9067213966998866E-2</v>
      </c>
      <c r="H591">
        <f t="shared" si="66"/>
        <v>-1.504378905950098</v>
      </c>
      <c r="I591">
        <f t="shared" si="67"/>
        <v>40.011831912987844</v>
      </c>
      <c r="J591" t="b">
        <f t="shared" si="68"/>
        <v>0</v>
      </c>
      <c r="K591">
        <f t="shared" si="69"/>
        <v>1563</v>
      </c>
    </row>
    <row r="592" spans="1:11" x14ac:dyDescent="0.3">
      <c r="A592" s="1">
        <v>42346</v>
      </c>
      <c r="B592">
        <v>44698.700750000004</v>
      </c>
      <c r="C592">
        <v>46849.567150000003</v>
      </c>
      <c r="D592">
        <v>1171</v>
      </c>
      <c r="E592">
        <f t="shared" si="63"/>
        <v>38.171392613151156</v>
      </c>
      <c r="F592">
        <f t="shared" si="64"/>
        <v>-2150.866399999999</v>
      </c>
      <c r="G592">
        <f t="shared" si="65"/>
        <v>-4.8119215187703165E-2</v>
      </c>
      <c r="H592">
        <f t="shared" si="66"/>
        <v>-1.8367774551665264</v>
      </c>
      <c r="I592">
        <f t="shared" si="67"/>
        <v>40.008170068317682</v>
      </c>
      <c r="J592" t="b">
        <f t="shared" si="68"/>
        <v>0</v>
      </c>
      <c r="K592">
        <f t="shared" si="69"/>
        <v>1171</v>
      </c>
    </row>
    <row r="593" spans="1:11" x14ac:dyDescent="0.3">
      <c r="A593" t="s">
        <v>355</v>
      </c>
      <c r="B593">
        <v>39463.409059999998</v>
      </c>
      <c r="C593">
        <v>41414.418369999999</v>
      </c>
      <c r="D593">
        <v>1035</v>
      </c>
      <c r="E593">
        <f t="shared" si="63"/>
        <v>38.128897642512072</v>
      </c>
      <c r="F593">
        <f t="shared" si="64"/>
        <v>-1951.0093100000013</v>
      </c>
      <c r="G593">
        <f t="shared" si="65"/>
        <v>-4.9438438200655577E-2</v>
      </c>
      <c r="H593">
        <f t="shared" si="66"/>
        <v>-1.8850331497584563</v>
      </c>
      <c r="I593">
        <f t="shared" si="67"/>
        <v>40.013930792270529</v>
      </c>
      <c r="J593" t="b">
        <f t="shared" si="68"/>
        <v>0</v>
      </c>
      <c r="K593">
        <f t="shared" si="69"/>
        <v>1035</v>
      </c>
    </row>
    <row r="594" spans="1:11" x14ac:dyDescent="0.3">
      <c r="A594" t="s">
        <v>356</v>
      </c>
      <c r="B594">
        <v>85794.096900000004</v>
      </c>
      <c r="C594">
        <v>89898.894230000005</v>
      </c>
      <c r="D594">
        <v>2247</v>
      </c>
      <c r="E594">
        <f t="shared" si="63"/>
        <v>38.181618558077439</v>
      </c>
      <c r="F594">
        <f t="shared" si="64"/>
        <v>-4104.7973300000012</v>
      </c>
      <c r="G594">
        <f t="shared" si="65"/>
        <v>-4.7844752475038888E-2</v>
      </c>
      <c r="H594">
        <f t="shared" si="66"/>
        <v>-1.8267900890075666</v>
      </c>
      <c r="I594">
        <f t="shared" si="67"/>
        <v>40.008408647085005</v>
      </c>
      <c r="J594" t="b">
        <f t="shared" si="68"/>
        <v>0</v>
      </c>
      <c r="K594">
        <f t="shared" si="69"/>
        <v>2247</v>
      </c>
    </row>
    <row r="595" spans="1:11" x14ac:dyDescent="0.3">
      <c r="A595" t="s">
        <v>357</v>
      </c>
      <c r="B595">
        <v>117288.0101</v>
      </c>
      <c r="C595">
        <v>122504.3572</v>
      </c>
      <c r="D595">
        <v>3068</v>
      </c>
      <c r="E595">
        <f t="shared" si="63"/>
        <v>38.22946874185137</v>
      </c>
      <c r="F595">
        <f t="shared" si="64"/>
        <v>-5216.347099999999</v>
      </c>
      <c r="G595">
        <f t="shared" si="65"/>
        <v>-4.4474683265173745E-2</v>
      </c>
      <c r="H595">
        <f t="shared" si="66"/>
        <v>-1.7002435136896992</v>
      </c>
      <c r="I595">
        <f t="shared" si="67"/>
        <v>39.92971225554107</v>
      </c>
      <c r="J595" t="b">
        <f t="shared" si="68"/>
        <v>0</v>
      </c>
      <c r="K595">
        <f t="shared" si="69"/>
        <v>3068</v>
      </c>
    </row>
    <row r="596" spans="1:11" x14ac:dyDescent="0.3">
      <c r="A596" t="s">
        <v>358</v>
      </c>
      <c r="B596">
        <v>71056.061000000002</v>
      </c>
      <c r="C596">
        <v>74589.172869999995</v>
      </c>
      <c r="D596">
        <v>1866</v>
      </c>
      <c r="E596">
        <f t="shared" si="63"/>
        <v>38.079346730975352</v>
      </c>
      <c r="F596">
        <f t="shared" si="64"/>
        <v>-3533.1118699999934</v>
      </c>
      <c r="G596">
        <f t="shared" si="65"/>
        <v>-4.9722878249611857E-2</v>
      </c>
      <c r="H596">
        <f t="shared" si="66"/>
        <v>-1.8934147213290373</v>
      </c>
      <c r="I596">
        <f t="shared" si="67"/>
        <v>39.97276145230439</v>
      </c>
      <c r="J596" t="b">
        <f t="shared" si="68"/>
        <v>0</v>
      </c>
      <c r="K596">
        <f t="shared" si="69"/>
        <v>1866</v>
      </c>
    </row>
    <row r="597" spans="1:11" x14ac:dyDescent="0.3">
      <c r="A597" t="s">
        <v>359</v>
      </c>
      <c r="B597">
        <v>64394.07445</v>
      </c>
      <c r="C597">
        <v>67505.254140000005</v>
      </c>
      <c r="D597">
        <v>1690</v>
      </c>
      <c r="E597">
        <f t="shared" si="63"/>
        <v>38.103002633136093</v>
      </c>
      <c r="F597">
        <f t="shared" si="64"/>
        <v>-3111.1796900000045</v>
      </c>
      <c r="G597">
        <f t="shared" si="65"/>
        <v>-4.8314689147613089E-2</v>
      </c>
      <c r="H597">
        <f t="shared" si="66"/>
        <v>-1.8409347278106551</v>
      </c>
      <c r="I597">
        <f t="shared" si="67"/>
        <v>39.943937360946748</v>
      </c>
      <c r="J597" t="b">
        <f t="shared" si="68"/>
        <v>0</v>
      </c>
      <c r="K597">
        <f t="shared" si="69"/>
        <v>1690</v>
      </c>
    </row>
    <row r="598" spans="1:11" x14ac:dyDescent="0.3">
      <c r="A598" t="s">
        <v>360</v>
      </c>
      <c r="B598">
        <v>35165.97208</v>
      </c>
      <c r="C598">
        <v>36841.967320000003</v>
      </c>
      <c r="D598">
        <v>922</v>
      </c>
      <c r="E598">
        <f t="shared" si="63"/>
        <v>38.140967548806941</v>
      </c>
      <c r="F598">
        <f t="shared" si="64"/>
        <v>-1675.9952400000038</v>
      </c>
      <c r="G598">
        <f t="shared" si="65"/>
        <v>-4.7659573754629557E-2</v>
      </c>
      <c r="H598">
        <f t="shared" si="66"/>
        <v>-1.8177822559652981</v>
      </c>
      <c r="I598">
        <f t="shared" si="67"/>
        <v>39.958749804772239</v>
      </c>
      <c r="J598" t="b">
        <f t="shared" si="68"/>
        <v>0</v>
      </c>
      <c r="K598">
        <f t="shared" si="69"/>
        <v>922</v>
      </c>
    </row>
    <row r="599" spans="1:11" x14ac:dyDescent="0.3">
      <c r="A599" t="s">
        <v>361</v>
      </c>
      <c r="B599">
        <v>23234.183199999999</v>
      </c>
      <c r="C599">
        <v>24104.08598</v>
      </c>
      <c r="D599">
        <v>604</v>
      </c>
      <c r="E599">
        <f t="shared" si="63"/>
        <v>38.467190728476822</v>
      </c>
      <c r="F599">
        <f t="shared" si="64"/>
        <v>-869.90278000000035</v>
      </c>
      <c r="G599">
        <f t="shared" si="65"/>
        <v>-3.7440643921581904E-2</v>
      </c>
      <c r="H599">
        <f t="shared" si="66"/>
        <v>-1.4402363907284723</v>
      </c>
      <c r="I599">
        <f t="shared" si="67"/>
        <v>39.907427119205295</v>
      </c>
      <c r="J599" t="b">
        <f t="shared" si="68"/>
        <v>0</v>
      </c>
      <c r="K599">
        <f t="shared" si="69"/>
        <v>604</v>
      </c>
    </row>
    <row r="600" spans="1:11" x14ac:dyDescent="0.3">
      <c r="A600" t="s">
        <v>362</v>
      </c>
      <c r="B600">
        <v>24754.957180000001</v>
      </c>
      <c r="C600">
        <v>25407.174070000001</v>
      </c>
      <c r="D600">
        <v>643</v>
      </c>
      <c r="E600">
        <f t="shared" si="63"/>
        <v>38.499155800933131</v>
      </c>
      <c r="F600">
        <f t="shared" si="64"/>
        <v>-652.21688999999969</v>
      </c>
      <c r="G600">
        <f t="shared" si="65"/>
        <v>-2.6346920548379622E-2</v>
      </c>
      <c r="H600">
        <f t="shared" si="66"/>
        <v>-1.0143341990668731</v>
      </c>
      <c r="I600">
        <f t="shared" si="67"/>
        <v>39.513490000000004</v>
      </c>
      <c r="J600" t="b">
        <f t="shared" si="68"/>
        <v>0</v>
      </c>
      <c r="K600">
        <f t="shared" si="69"/>
        <v>643</v>
      </c>
    </row>
    <row r="601" spans="1:11" x14ac:dyDescent="0.3">
      <c r="A601" t="s">
        <v>363</v>
      </c>
      <c r="B601">
        <v>76691.283030000006</v>
      </c>
      <c r="C601">
        <v>78691.956319999998</v>
      </c>
      <c r="D601">
        <v>2006</v>
      </c>
      <c r="E601">
        <f t="shared" si="63"/>
        <v>38.230948668993022</v>
      </c>
      <c r="F601">
        <f t="shared" si="64"/>
        <v>-2000.6732899999915</v>
      </c>
      <c r="G601">
        <f t="shared" si="65"/>
        <v>-2.608736235664972E-2</v>
      </c>
      <c r="H601">
        <f t="shared" si="66"/>
        <v>-0.99734461116649697</v>
      </c>
      <c r="I601">
        <f t="shared" si="67"/>
        <v>39.228293280159519</v>
      </c>
      <c r="J601" t="b">
        <f t="shared" si="68"/>
        <v>0</v>
      </c>
      <c r="K601">
        <f t="shared" si="69"/>
        <v>2006</v>
      </c>
    </row>
    <row r="602" spans="1:11" x14ac:dyDescent="0.3">
      <c r="A602" t="s">
        <v>364</v>
      </c>
      <c r="B602">
        <v>102231.2118</v>
      </c>
      <c r="C602">
        <v>104713.00750000001</v>
      </c>
      <c r="D602">
        <v>2677</v>
      </c>
      <c r="E602">
        <f t="shared" si="63"/>
        <v>38.188723122898772</v>
      </c>
      <c r="F602">
        <f t="shared" si="64"/>
        <v>-2481.7957000000024</v>
      </c>
      <c r="G602">
        <f t="shared" si="65"/>
        <v>-2.4276301300773608E-2</v>
      </c>
      <c r="H602">
        <f t="shared" si="66"/>
        <v>-0.92708094882330983</v>
      </c>
      <c r="I602">
        <f t="shared" si="67"/>
        <v>39.115804071722081</v>
      </c>
      <c r="J602" t="b">
        <f t="shared" si="68"/>
        <v>0</v>
      </c>
      <c r="K602">
        <f t="shared" si="69"/>
        <v>2677</v>
      </c>
    </row>
    <row r="603" spans="1:11" x14ac:dyDescent="0.3">
      <c r="A603" t="s">
        <v>365</v>
      </c>
      <c r="B603">
        <v>56974.868029999998</v>
      </c>
      <c r="C603">
        <v>57548.98515</v>
      </c>
      <c r="D603">
        <v>1467</v>
      </c>
      <c r="E603">
        <f t="shared" si="63"/>
        <v>38.837674185412403</v>
      </c>
      <c r="F603">
        <f t="shared" si="64"/>
        <v>-574.11712000000261</v>
      </c>
      <c r="G603">
        <f t="shared" si="65"/>
        <v>-1.0076673099053119E-2</v>
      </c>
      <c r="H603">
        <f t="shared" si="66"/>
        <v>-0.39135454669393965</v>
      </c>
      <c r="I603">
        <f t="shared" si="67"/>
        <v>39.229028732106343</v>
      </c>
      <c r="J603" t="b">
        <f t="shared" si="68"/>
        <v>0</v>
      </c>
      <c r="K603">
        <f t="shared" si="69"/>
        <v>1467</v>
      </c>
    </row>
    <row r="604" spans="1:11" x14ac:dyDescent="0.3">
      <c r="A604" t="s">
        <v>366</v>
      </c>
      <c r="B604">
        <v>59442.731119999997</v>
      </c>
      <c r="C604">
        <v>59785.428610000003</v>
      </c>
      <c r="D604">
        <v>1528</v>
      </c>
      <c r="E604">
        <f t="shared" si="63"/>
        <v>38.902310942408377</v>
      </c>
      <c r="F604">
        <f t="shared" si="64"/>
        <v>-342.69749000000593</v>
      </c>
      <c r="G604">
        <f t="shared" si="65"/>
        <v>-5.7651706700384518E-3</v>
      </c>
      <c r="H604">
        <f t="shared" si="66"/>
        <v>-0.22427846204188739</v>
      </c>
      <c r="I604">
        <f t="shared" si="67"/>
        <v>39.126589404450264</v>
      </c>
      <c r="J604" t="b">
        <f t="shared" si="68"/>
        <v>0</v>
      </c>
      <c r="K604">
        <f t="shared" si="69"/>
        <v>1528</v>
      </c>
    </row>
    <row r="605" spans="1:11" x14ac:dyDescent="0.3">
      <c r="A605" t="s">
        <v>367</v>
      </c>
      <c r="B605">
        <v>217683.36230000001</v>
      </c>
      <c r="C605">
        <v>246975.73079999999</v>
      </c>
      <c r="D605">
        <v>6360</v>
      </c>
      <c r="E605">
        <f t="shared" si="63"/>
        <v>34.226943757861633</v>
      </c>
      <c r="F605">
        <f t="shared" si="64"/>
        <v>-29292.368499999982</v>
      </c>
      <c r="G605">
        <f t="shared" si="65"/>
        <v>-0.13456411271170438</v>
      </c>
      <c r="H605">
        <f t="shared" si="66"/>
        <v>-4.6057183176100622</v>
      </c>
      <c r="I605">
        <f t="shared" si="67"/>
        <v>38.832662075471696</v>
      </c>
      <c r="J605" t="b">
        <f t="shared" si="68"/>
        <v>0</v>
      </c>
      <c r="K605">
        <f t="shared" si="69"/>
        <v>6360</v>
      </c>
    </row>
    <row r="606" spans="1:11" x14ac:dyDescent="0.3">
      <c r="A606" t="s">
        <v>368</v>
      </c>
      <c r="B606">
        <v>275458.80690000003</v>
      </c>
      <c r="C606">
        <v>307092.27439999999</v>
      </c>
      <c r="D606">
        <v>8035</v>
      </c>
      <c r="E606">
        <f t="shared" si="63"/>
        <v>34.28236551337897</v>
      </c>
      <c r="F606">
        <f t="shared" si="64"/>
        <v>-31633.46749999997</v>
      </c>
      <c r="G606">
        <f t="shared" si="65"/>
        <v>-0.114839194491552</v>
      </c>
      <c r="H606">
        <f t="shared" si="66"/>
        <v>-3.9369592408214018</v>
      </c>
      <c r="I606">
        <f t="shared" si="67"/>
        <v>38.219324754200372</v>
      </c>
      <c r="J606" t="b">
        <f t="shared" si="68"/>
        <v>0</v>
      </c>
      <c r="K606">
        <f t="shared" si="69"/>
        <v>8035</v>
      </c>
    </row>
    <row r="607" spans="1:11" x14ac:dyDescent="0.3">
      <c r="A607" t="s">
        <v>369</v>
      </c>
      <c r="B607">
        <v>228731.86550000001</v>
      </c>
      <c r="C607">
        <v>252845.44560000001</v>
      </c>
      <c r="D607">
        <v>6675</v>
      </c>
      <c r="E607">
        <f t="shared" si="63"/>
        <v>34.266946142322098</v>
      </c>
      <c r="F607">
        <f t="shared" si="64"/>
        <v>-24113.580099999992</v>
      </c>
      <c r="G607">
        <f t="shared" si="65"/>
        <v>-0.10542291537424632</v>
      </c>
      <c r="H607">
        <f t="shared" si="66"/>
        <v>-3.6125213632958832</v>
      </c>
      <c r="I607">
        <f t="shared" si="67"/>
        <v>37.879467505617981</v>
      </c>
      <c r="J607" t="b">
        <f t="shared" si="68"/>
        <v>0</v>
      </c>
      <c r="K607">
        <f t="shared" si="69"/>
        <v>6675</v>
      </c>
    </row>
    <row r="608" spans="1:11" x14ac:dyDescent="0.3">
      <c r="A608" t="s">
        <v>370</v>
      </c>
      <c r="B608">
        <v>387639.12</v>
      </c>
      <c r="C608">
        <v>426783.30219999998</v>
      </c>
      <c r="D608">
        <v>11330</v>
      </c>
      <c r="E608">
        <f t="shared" si="63"/>
        <v>34.213514563106799</v>
      </c>
      <c r="F608">
        <f t="shared" si="64"/>
        <v>-39144.182199999981</v>
      </c>
      <c r="G608">
        <f t="shared" si="65"/>
        <v>-0.10098099025712363</v>
      </c>
      <c r="H608">
        <f t="shared" si="66"/>
        <v>-3.4549145807590449</v>
      </c>
      <c r="I608">
        <f t="shared" si="67"/>
        <v>37.668429143865843</v>
      </c>
      <c r="J608" t="b">
        <f t="shared" si="68"/>
        <v>0</v>
      </c>
      <c r="K608">
        <f t="shared" si="69"/>
        <v>11330</v>
      </c>
    </row>
    <row r="609" spans="1:11" x14ac:dyDescent="0.3">
      <c r="A609" t="s">
        <v>371</v>
      </c>
      <c r="B609">
        <v>461188.0049</v>
      </c>
      <c r="C609">
        <v>504578.1888</v>
      </c>
      <c r="D609">
        <v>13484</v>
      </c>
      <c r="E609">
        <f t="shared" si="63"/>
        <v>34.20261086472857</v>
      </c>
      <c r="F609">
        <f t="shared" si="64"/>
        <v>-43390.183900000004</v>
      </c>
      <c r="G609">
        <f t="shared" si="65"/>
        <v>-9.4083504859169859E-2</v>
      </c>
      <c r="H609">
        <f t="shared" si="66"/>
        <v>-3.2179015054879869</v>
      </c>
      <c r="I609">
        <f t="shared" si="67"/>
        <v>37.420512370216557</v>
      </c>
      <c r="J609" t="b">
        <f t="shared" si="68"/>
        <v>0</v>
      </c>
      <c r="K609">
        <f t="shared" si="69"/>
        <v>13484</v>
      </c>
    </row>
    <row r="610" spans="1:11" x14ac:dyDescent="0.3">
      <c r="A610" t="s">
        <v>372</v>
      </c>
      <c r="B610">
        <v>202249.67720000001</v>
      </c>
      <c r="C610">
        <v>220152.1868</v>
      </c>
      <c r="D610">
        <v>5913</v>
      </c>
      <c r="E610">
        <f t="shared" si="63"/>
        <v>34.204241028242855</v>
      </c>
      <c r="F610">
        <f t="shared" si="64"/>
        <v>-17902.50959999999</v>
      </c>
      <c r="G610">
        <f t="shared" si="65"/>
        <v>-8.8516876011112813E-2</v>
      </c>
      <c r="H610">
        <f t="shared" si="66"/>
        <v>-3.0276525621511894</v>
      </c>
      <c r="I610">
        <f t="shared" si="67"/>
        <v>37.231893590394044</v>
      </c>
      <c r="J610" t="b">
        <f t="shared" si="68"/>
        <v>0</v>
      </c>
      <c r="K610">
        <f t="shared" si="69"/>
        <v>5913</v>
      </c>
    </row>
    <row r="611" spans="1:11" x14ac:dyDescent="0.3">
      <c r="A611" t="s">
        <v>373</v>
      </c>
      <c r="B611">
        <v>332559.76500000001</v>
      </c>
      <c r="C611">
        <v>361970.28590000002</v>
      </c>
      <c r="D611">
        <v>9721</v>
      </c>
      <c r="E611">
        <f t="shared" si="63"/>
        <v>34.210447999177042</v>
      </c>
      <c r="F611">
        <f t="shared" si="64"/>
        <v>-29410.520900000003</v>
      </c>
      <c r="G611">
        <f t="shared" si="65"/>
        <v>-8.8436798420277934E-2</v>
      </c>
      <c r="H611">
        <f t="shared" si="66"/>
        <v>-3.0254624935706218</v>
      </c>
      <c r="I611">
        <f t="shared" si="67"/>
        <v>37.235910492747664</v>
      </c>
      <c r="J611" t="b">
        <f t="shared" si="68"/>
        <v>0</v>
      </c>
      <c r="K611">
        <f t="shared" si="69"/>
        <v>9721</v>
      </c>
    </row>
    <row r="612" spans="1:11" x14ac:dyDescent="0.3">
      <c r="A612" s="1">
        <v>42013</v>
      </c>
      <c r="B612">
        <v>384806.77159999998</v>
      </c>
      <c r="C612">
        <v>418101.59749999997</v>
      </c>
      <c r="D612">
        <v>11257</v>
      </c>
      <c r="E612">
        <f t="shared" si="63"/>
        <v>34.183776459092115</v>
      </c>
      <c r="F612">
        <f t="shared" si="64"/>
        <v>-33294.825899999996</v>
      </c>
      <c r="G612">
        <f t="shared" si="65"/>
        <v>-8.6523492717039283E-2</v>
      </c>
      <c r="H612">
        <f t="shared" si="66"/>
        <v>-2.9576997334991617</v>
      </c>
      <c r="I612">
        <f t="shared" si="67"/>
        <v>37.141476192591277</v>
      </c>
      <c r="J612" t="b">
        <f t="shared" si="68"/>
        <v>0</v>
      </c>
      <c r="K612">
        <f t="shared" si="69"/>
        <v>11257</v>
      </c>
    </row>
    <row r="613" spans="1:11" x14ac:dyDescent="0.3">
      <c r="A613" s="1">
        <v>42044</v>
      </c>
      <c r="B613">
        <v>345776.25030000001</v>
      </c>
      <c r="C613">
        <v>373816.16840000002</v>
      </c>
      <c r="D613">
        <v>10102</v>
      </c>
      <c r="E613">
        <f t="shared" si="63"/>
        <v>34.228494387250052</v>
      </c>
      <c r="F613">
        <f t="shared" si="64"/>
        <v>-28039.91810000001</v>
      </c>
      <c r="G613">
        <f t="shared" si="65"/>
        <v>-8.1092666357716031E-2</v>
      </c>
      <c r="H613">
        <f t="shared" si="66"/>
        <v>-2.7756798752722247</v>
      </c>
      <c r="I613">
        <f t="shared" si="67"/>
        <v>37.004174262522277</v>
      </c>
      <c r="J613" t="b">
        <f t="shared" si="68"/>
        <v>0</v>
      </c>
      <c r="K613">
        <f t="shared" si="69"/>
        <v>10102</v>
      </c>
    </row>
    <row r="614" spans="1:11" x14ac:dyDescent="0.3">
      <c r="A614" s="1">
        <v>42072</v>
      </c>
      <c r="B614">
        <v>271551.09509999998</v>
      </c>
      <c r="C614">
        <v>293343.87400000001</v>
      </c>
      <c r="D614">
        <v>7938</v>
      </c>
      <c r="E614">
        <f t="shared" si="63"/>
        <v>34.209006689342402</v>
      </c>
      <c r="F614">
        <f t="shared" si="64"/>
        <v>-21792.778900000034</v>
      </c>
      <c r="G614">
        <f t="shared" si="65"/>
        <v>-8.0252958994603718E-2</v>
      </c>
      <c r="H614">
        <f t="shared" si="66"/>
        <v>-2.7453740110859215</v>
      </c>
      <c r="I614">
        <f t="shared" si="67"/>
        <v>36.954380700428324</v>
      </c>
      <c r="J614" t="b">
        <f t="shared" si="68"/>
        <v>0</v>
      </c>
      <c r="K614">
        <f t="shared" si="69"/>
        <v>7938</v>
      </c>
    </row>
    <row r="615" spans="1:11" x14ac:dyDescent="0.3">
      <c r="A615" s="1">
        <v>42103</v>
      </c>
      <c r="B615">
        <v>340440.20549999998</v>
      </c>
      <c r="C615">
        <v>366359.65860000002</v>
      </c>
      <c r="D615">
        <v>9936</v>
      </c>
      <c r="E615">
        <f t="shared" si="63"/>
        <v>34.263305706521734</v>
      </c>
      <c r="F615">
        <f t="shared" si="64"/>
        <v>-25919.453100000042</v>
      </c>
      <c r="G615">
        <f t="shared" si="65"/>
        <v>-7.6135111779563433E-2</v>
      </c>
      <c r="H615">
        <f t="shared" si="66"/>
        <v>-2.6086406099033894</v>
      </c>
      <c r="I615">
        <f t="shared" si="67"/>
        <v>36.871946316425124</v>
      </c>
      <c r="J615" t="b">
        <f t="shared" si="68"/>
        <v>0</v>
      </c>
      <c r="K615">
        <f t="shared" si="69"/>
        <v>9936</v>
      </c>
    </row>
    <row r="616" spans="1:11" x14ac:dyDescent="0.3">
      <c r="A616" s="1">
        <v>42133</v>
      </c>
      <c r="B616">
        <v>364416.7316</v>
      </c>
      <c r="C616">
        <v>392128.30129999999</v>
      </c>
      <c r="D616">
        <v>10643</v>
      </c>
      <c r="E616">
        <f t="shared" si="63"/>
        <v>34.240038673306401</v>
      </c>
      <c r="F616">
        <f t="shared" si="64"/>
        <v>-27711.569699999993</v>
      </c>
      <c r="G616">
        <f t="shared" si="65"/>
        <v>-7.6043626148366433E-2</v>
      </c>
      <c r="H616">
        <f t="shared" si="66"/>
        <v>-2.6037367001785157</v>
      </c>
      <c r="I616">
        <f t="shared" si="67"/>
        <v>36.843775373484917</v>
      </c>
      <c r="J616" t="b">
        <f t="shared" si="68"/>
        <v>0</v>
      </c>
      <c r="K616">
        <f t="shared" si="69"/>
        <v>10643</v>
      </c>
    </row>
    <row r="617" spans="1:11" x14ac:dyDescent="0.3">
      <c r="A617" s="1">
        <v>42164</v>
      </c>
      <c r="B617">
        <v>164719.60449999999</v>
      </c>
      <c r="C617">
        <v>176647.84270000001</v>
      </c>
      <c r="D617">
        <v>4800</v>
      </c>
      <c r="E617">
        <f t="shared" si="63"/>
        <v>34.316584270833332</v>
      </c>
      <c r="F617">
        <f t="shared" si="64"/>
        <v>-11928.238200000022</v>
      </c>
      <c r="G617">
        <f t="shared" si="65"/>
        <v>-7.241541306639078E-2</v>
      </c>
      <c r="H617">
        <f t="shared" si="66"/>
        <v>-2.485049625000002</v>
      </c>
      <c r="I617">
        <f t="shared" si="67"/>
        <v>36.801633895833334</v>
      </c>
      <c r="J617" t="b">
        <f t="shared" si="68"/>
        <v>0</v>
      </c>
      <c r="K617">
        <f t="shared" si="69"/>
        <v>4800</v>
      </c>
    </row>
    <row r="618" spans="1:11" x14ac:dyDescent="0.3">
      <c r="A618" s="1">
        <v>42194</v>
      </c>
      <c r="B618">
        <v>178921.0993</v>
      </c>
      <c r="C618">
        <v>192507.5287</v>
      </c>
      <c r="D618">
        <v>5228</v>
      </c>
      <c r="E618">
        <f t="shared" si="63"/>
        <v>34.223622666411629</v>
      </c>
      <c r="F618">
        <f t="shared" si="64"/>
        <v>-13586.429399999994</v>
      </c>
      <c r="G618">
        <f t="shared" si="65"/>
        <v>-7.5935311448200982E-2</v>
      </c>
      <c r="H618">
        <f t="shared" si="66"/>
        <v>-2.5987814460596752</v>
      </c>
      <c r="I618">
        <f t="shared" si="67"/>
        <v>36.822404112471304</v>
      </c>
      <c r="J618" t="b">
        <f t="shared" si="68"/>
        <v>0</v>
      </c>
      <c r="K618">
        <f t="shared" si="69"/>
        <v>5228</v>
      </c>
    </row>
    <row r="619" spans="1:11" x14ac:dyDescent="0.3">
      <c r="A619" s="1">
        <v>42225</v>
      </c>
      <c r="B619">
        <v>70286.997810000001</v>
      </c>
      <c r="C619">
        <v>66639.698050000006</v>
      </c>
      <c r="D619">
        <v>1810</v>
      </c>
      <c r="E619">
        <f t="shared" si="63"/>
        <v>38.83259547513812</v>
      </c>
      <c r="F619">
        <f t="shared" si="64"/>
        <v>3647.2997599999944</v>
      </c>
      <c r="G619">
        <f t="shared" si="65"/>
        <v>5.1891528641746586E-2</v>
      </c>
      <c r="H619">
        <f t="shared" si="66"/>
        <v>2.0150827403314864</v>
      </c>
      <c r="I619">
        <f t="shared" si="67"/>
        <v>36.817512734806634</v>
      </c>
      <c r="J619" t="b">
        <f t="shared" si="68"/>
        <v>1</v>
      </c>
      <c r="K619">
        <f t="shared" si="69"/>
        <v>1810</v>
      </c>
    </row>
    <row r="620" spans="1:11" x14ac:dyDescent="0.3">
      <c r="A620" s="1">
        <v>42256</v>
      </c>
      <c r="B620">
        <v>76013.677899999995</v>
      </c>
      <c r="C620">
        <v>72211.103170000002</v>
      </c>
      <c r="D620">
        <v>1961</v>
      </c>
      <c r="E620">
        <f t="shared" si="63"/>
        <v>38.76271183069862</v>
      </c>
      <c r="F620">
        <f t="shared" si="64"/>
        <v>3802.574729999993</v>
      </c>
      <c r="G620">
        <f t="shared" si="65"/>
        <v>5.0024874931094386E-2</v>
      </c>
      <c r="H620">
        <f t="shared" si="66"/>
        <v>1.9390998113207516</v>
      </c>
      <c r="I620">
        <f t="shared" si="67"/>
        <v>36.823612019377869</v>
      </c>
      <c r="J620" t="b">
        <f t="shared" si="68"/>
        <v>1</v>
      </c>
      <c r="K620">
        <f t="shared" si="69"/>
        <v>1961</v>
      </c>
    </row>
    <row r="621" spans="1:11" x14ac:dyDescent="0.3">
      <c r="A621" s="1">
        <v>42286</v>
      </c>
      <c r="B621">
        <v>48406.787149999996</v>
      </c>
      <c r="C621">
        <v>45316.542730000001</v>
      </c>
      <c r="D621">
        <v>1232</v>
      </c>
      <c r="E621">
        <f t="shared" si="63"/>
        <v>39.291223336038961</v>
      </c>
      <c r="F621">
        <f t="shared" si="64"/>
        <v>3090.2444199999954</v>
      </c>
      <c r="G621">
        <f t="shared" si="65"/>
        <v>6.383907302965873E-2</v>
      </c>
      <c r="H621">
        <f t="shared" si="66"/>
        <v>2.5083152759740273</v>
      </c>
      <c r="I621">
        <f t="shared" si="67"/>
        <v>36.782908060064933</v>
      </c>
      <c r="J621" t="b">
        <f t="shared" si="68"/>
        <v>1</v>
      </c>
      <c r="K621">
        <f t="shared" si="69"/>
        <v>1232</v>
      </c>
    </row>
    <row r="622" spans="1:11" x14ac:dyDescent="0.3">
      <c r="A622" s="1">
        <v>42317</v>
      </c>
      <c r="B622">
        <v>85940.026939999996</v>
      </c>
      <c r="C622">
        <v>81559.845619999993</v>
      </c>
      <c r="D622">
        <v>2194</v>
      </c>
      <c r="E622">
        <f t="shared" si="63"/>
        <v>39.170477183226978</v>
      </c>
      <c r="F622">
        <f t="shared" si="64"/>
        <v>4380.1813200000033</v>
      </c>
      <c r="G622">
        <f t="shared" si="65"/>
        <v>5.0967883953051081E-2</v>
      </c>
      <c r="H622">
        <f t="shared" si="66"/>
        <v>1.9964363354603449</v>
      </c>
      <c r="I622">
        <f t="shared" si="67"/>
        <v>37.174040847766634</v>
      </c>
      <c r="J622" t="b">
        <f t="shared" si="68"/>
        <v>1</v>
      </c>
      <c r="K622">
        <f t="shared" si="69"/>
        <v>2194</v>
      </c>
    </row>
    <row r="623" spans="1:11" x14ac:dyDescent="0.3">
      <c r="A623" s="1">
        <v>42347</v>
      </c>
      <c r="B623">
        <v>57381.751450000003</v>
      </c>
      <c r="C623">
        <v>54340.891510000001</v>
      </c>
      <c r="D623">
        <v>1469</v>
      </c>
      <c r="E623">
        <f t="shared" si="63"/>
        <v>39.061777705922395</v>
      </c>
      <c r="F623">
        <f t="shared" si="64"/>
        <v>3040.8599400000021</v>
      </c>
      <c r="G623">
        <f t="shared" si="65"/>
        <v>5.2993501647464997E-2</v>
      </c>
      <c r="H623">
        <f t="shared" si="66"/>
        <v>2.0700203812117053</v>
      </c>
      <c r="I623">
        <f t="shared" si="67"/>
        <v>36.99175732471069</v>
      </c>
      <c r="J623" t="b">
        <f t="shared" si="68"/>
        <v>1</v>
      </c>
      <c r="K623">
        <f t="shared" si="69"/>
        <v>1469</v>
      </c>
    </row>
    <row r="624" spans="1:11" x14ac:dyDescent="0.3">
      <c r="A624" t="s">
        <v>374</v>
      </c>
      <c r="B624">
        <v>32479.79639</v>
      </c>
      <c r="C624">
        <v>30763.688119999999</v>
      </c>
      <c r="D624">
        <v>829</v>
      </c>
      <c r="E624">
        <f t="shared" si="63"/>
        <v>39.17948901085645</v>
      </c>
      <c r="F624">
        <f t="shared" si="64"/>
        <v>1716.1082700000006</v>
      </c>
      <c r="G624">
        <f t="shared" si="65"/>
        <v>5.2836176969642656E-2</v>
      </c>
      <c r="H624">
        <f t="shared" si="66"/>
        <v>2.0700944149577793</v>
      </c>
      <c r="I624">
        <f t="shared" si="67"/>
        <v>37.109394595898671</v>
      </c>
      <c r="J624" t="b">
        <f t="shared" si="68"/>
        <v>1</v>
      </c>
      <c r="K624">
        <f t="shared" si="69"/>
        <v>829</v>
      </c>
    </row>
    <row r="625" spans="1:11" x14ac:dyDescent="0.3">
      <c r="A625" t="s">
        <v>375</v>
      </c>
      <c r="B625">
        <v>52160.183929999999</v>
      </c>
      <c r="C625">
        <v>49656.007749999997</v>
      </c>
      <c r="D625">
        <v>1329</v>
      </c>
      <c r="E625">
        <f t="shared" si="63"/>
        <v>39.247692949586153</v>
      </c>
      <c r="F625">
        <f t="shared" si="64"/>
        <v>2504.1761800000022</v>
      </c>
      <c r="G625">
        <f t="shared" si="65"/>
        <v>4.8009343359690912E-2</v>
      </c>
      <c r="H625">
        <f t="shared" si="66"/>
        <v>1.8842559668923968</v>
      </c>
      <c r="I625">
        <f t="shared" si="67"/>
        <v>37.363436982693756</v>
      </c>
      <c r="J625" t="b">
        <f t="shared" si="68"/>
        <v>1</v>
      </c>
      <c r="K625">
        <f t="shared" si="69"/>
        <v>1329</v>
      </c>
    </row>
    <row r="626" spans="1:11" x14ac:dyDescent="0.3">
      <c r="A626" t="s">
        <v>376</v>
      </c>
      <c r="B626">
        <v>51002.839569999996</v>
      </c>
      <c r="C626">
        <v>48601.967499999999</v>
      </c>
      <c r="D626">
        <v>1300</v>
      </c>
      <c r="E626">
        <f t="shared" si="63"/>
        <v>39.232953515384615</v>
      </c>
      <c r="F626">
        <f t="shared" si="64"/>
        <v>2400.8720699999976</v>
      </c>
      <c r="G626">
        <f t="shared" si="65"/>
        <v>4.7073302001251649E-2</v>
      </c>
      <c r="H626">
        <f t="shared" si="66"/>
        <v>1.8468246692307702</v>
      </c>
      <c r="I626">
        <f t="shared" si="67"/>
        <v>37.386128846153845</v>
      </c>
      <c r="J626" t="b">
        <f t="shared" si="68"/>
        <v>1</v>
      </c>
      <c r="K626">
        <f t="shared" si="69"/>
        <v>1300</v>
      </c>
    </row>
    <row r="627" spans="1:11" x14ac:dyDescent="0.3">
      <c r="A627" t="s">
        <v>377</v>
      </c>
      <c r="B627">
        <v>30194.715960000001</v>
      </c>
      <c r="C627">
        <v>28605.460800000001</v>
      </c>
      <c r="D627">
        <v>773</v>
      </c>
      <c r="E627">
        <f t="shared" si="63"/>
        <v>39.061728279430788</v>
      </c>
      <c r="F627">
        <f t="shared" si="64"/>
        <v>1589.2551600000006</v>
      </c>
      <c r="G627">
        <f t="shared" si="65"/>
        <v>5.2633552244880949E-2</v>
      </c>
      <c r="H627">
        <f t="shared" si="66"/>
        <v>2.0559575161707642</v>
      </c>
      <c r="I627">
        <f t="shared" si="67"/>
        <v>37.005770763260024</v>
      </c>
      <c r="J627" t="b">
        <f t="shared" si="68"/>
        <v>1</v>
      </c>
      <c r="K627">
        <f t="shared" si="69"/>
        <v>773</v>
      </c>
    </row>
    <row r="628" spans="1:11" x14ac:dyDescent="0.3">
      <c r="A628" t="s">
        <v>378</v>
      </c>
      <c r="B628">
        <v>29751.222610000001</v>
      </c>
      <c r="C628">
        <v>28084.235130000001</v>
      </c>
      <c r="D628">
        <v>760</v>
      </c>
      <c r="E628">
        <f t="shared" si="63"/>
        <v>39.146345539473685</v>
      </c>
      <c r="F628">
        <f t="shared" si="64"/>
        <v>1666.9874799999998</v>
      </c>
      <c r="G628">
        <f t="shared" si="65"/>
        <v>5.603088995205497E-2</v>
      </c>
      <c r="H628">
        <f t="shared" si="66"/>
        <v>2.1934045789473657</v>
      </c>
      <c r="I628">
        <f t="shared" si="67"/>
        <v>36.95294096052632</v>
      </c>
      <c r="J628" t="b">
        <f t="shared" si="68"/>
        <v>1</v>
      </c>
      <c r="K628">
        <f t="shared" si="69"/>
        <v>760</v>
      </c>
    </row>
    <row r="629" spans="1:11" x14ac:dyDescent="0.3">
      <c r="A629" t="s">
        <v>379</v>
      </c>
      <c r="B629">
        <v>68504.639439999999</v>
      </c>
      <c r="C629">
        <v>64881.97565</v>
      </c>
      <c r="D629">
        <v>1755</v>
      </c>
      <c r="E629">
        <f t="shared" si="63"/>
        <v>39.033982586894588</v>
      </c>
      <c r="F629">
        <f t="shared" si="64"/>
        <v>3622.6637899999987</v>
      </c>
      <c r="G629">
        <f t="shared" si="65"/>
        <v>5.2882021124611857E-2</v>
      </c>
      <c r="H629">
        <f t="shared" si="66"/>
        <v>2.0641958917378957</v>
      </c>
      <c r="I629">
        <f t="shared" si="67"/>
        <v>36.969786695156692</v>
      </c>
      <c r="J629" t="b">
        <f t="shared" si="68"/>
        <v>1</v>
      </c>
      <c r="K629">
        <f t="shared" si="69"/>
        <v>1755</v>
      </c>
    </row>
    <row r="630" spans="1:11" x14ac:dyDescent="0.3">
      <c r="A630" t="s">
        <v>380</v>
      </c>
      <c r="B630">
        <v>68996.561759999997</v>
      </c>
      <c r="C630">
        <v>65211.571770000002</v>
      </c>
      <c r="D630">
        <v>1766</v>
      </c>
      <c r="E630">
        <f t="shared" si="63"/>
        <v>39.069400770101922</v>
      </c>
      <c r="F630">
        <f t="shared" si="64"/>
        <v>3784.9899899999946</v>
      </c>
      <c r="G630">
        <f t="shared" si="65"/>
        <v>5.4857660924696995E-2</v>
      </c>
      <c r="H630">
        <f t="shared" si="66"/>
        <v>2.1432559399773439</v>
      </c>
      <c r="I630">
        <f t="shared" si="67"/>
        <v>36.926144830124578</v>
      </c>
      <c r="J630" t="b">
        <f t="shared" si="68"/>
        <v>1</v>
      </c>
      <c r="K630">
        <f t="shared" si="69"/>
        <v>1766</v>
      </c>
    </row>
    <row r="631" spans="1:11" x14ac:dyDescent="0.3">
      <c r="A631" t="s">
        <v>381</v>
      </c>
      <c r="B631">
        <v>41855.928760000003</v>
      </c>
      <c r="C631">
        <v>39629.451869999997</v>
      </c>
      <c r="D631">
        <v>1078</v>
      </c>
      <c r="E631">
        <f t="shared" si="63"/>
        <v>38.827392170686458</v>
      </c>
      <c r="F631">
        <f t="shared" si="64"/>
        <v>2226.4768900000054</v>
      </c>
      <c r="G631">
        <f t="shared" si="65"/>
        <v>5.3193823574350076E-2</v>
      </c>
      <c r="H631">
        <f t="shared" si="66"/>
        <v>2.0653774489795964</v>
      </c>
      <c r="I631">
        <f t="shared" si="67"/>
        <v>36.762014721706862</v>
      </c>
      <c r="J631" t="b">
        <f t="shared" si="68"/>
        <v>1</v>
      </c>
      <c r="K631">
        <f t="shared" si="69"/>
        <v>1078</v>
      </c>
    </row>
    <row r="632" spans="1:11" x14ac:dyDescent="0.3">
      <c r="A632" t="s">
        <v>382</v>
      </c>
      <c r="B632">
        <v>44303.466489999999</v>
      </c>
      <c r="C632">
        <v>41485.458720000002</v>
      </c>
      <c r="D632">
        <v>1124</v>
      </c>
      <c r="E632">
        <f t="shared" si="63"/>
        <v>39.415895453736653</v>
      </c>
      <c r="F632">
        <f t="shared" si="64"/>
        <v>2818.0077699999965</v>
      </c>
      <c r="G632">
        <f t="shared" si="65"/>
        <v>6.3606936279716753E-2</v>
      </c>
      <c r="H632">
        <f t="shared" si="66"/>
        <v>2.5071243505338003</v>
      </c>
      <c r="I632">
        <f t="shared" si="67"/>
        <v>36.908771103202852</v>
      </c>
      <c r="J632" t="b">
        <f t="shared" si="68"/>
        <v>1</v>
      </c>
      <c r="K632">
        <f t="shared" si="69"/>
        <v>1124</v>
      </c>
    </row>
    <row r="633" spans="1:11" x14ac:dyDescent="0.3">
      <c r="A633" t="s">
        <v>383</v>
      </c>
      <c r="B633">
        <v>46599.298130000003</v>
      </c>
      <c r="C633">
        <v>43806.73201</v>
      </c>
      <c r="D633">
        <v>1182</v>
      </c>
      <c r="E633">
        <f t="shared" si="63"/>
        <v>39.424110093062609</v>
      </c>
      <c r="F633">
        <f t="shared" si="64"/>
        <v>2792.5661200000031</v>
      </c>
      <c r="G633">
        <f t="shared" si="65"/>
        <v>5.9927214186991942E-2</v>
      </c>
      <c r="H633">
        <f t="shared" si="66"/>
        <v>2.362577089678517</v>
      </c>
      <c r="I633">
        <f t="shared" si="67"/>
        <v>37.061533003384092</v>
      </c>
      <c r="J633" t="b">
        <f t="shared" si="68"/>
        <v>1</v>
      </c>
      <c r="K633">
        <f t="shared" si="69"/>
        <v>1182</v>
      </c>
    </row>
    <row r="634" spans="1:11" x14ac:dyDescent="0.3">
      <c r="A634" t="s">
        <v>384</v>
      </c>
      <c r="B634">
        <v>125182.75719999999</v>
      </c>
      <c r="C634">
        <v>138583.83780000001</v>
      </c>
      <c r="D634">
        <v>3725</v>
      </c>
      <c r="E634">
        <f t="shared" si="63"/>
        <v>33.606109315436242</v>
      </c>
      <c r="F634">
        <f t="shared" si="64"/>
        <v>-13401.080600000016</v>
      </c>
      <c r="G634">
        <f t="shared" si="65"/>
        <v>-0.10705212842204451</v>
      </c>
      <c r="H634">
        <f t="shared" si="66"/>
        <v>-3.5976055302013421</v>
      </c>
      <c r="I634">
        <f t="shared" si="67"/>
        <v>37.203714845637585</v>
      </c>
      <c r="J634" t="b">
        <f t="shared" si="68"/>
        <v>0</v>
      </c>
      <c r="K634">
        <f t="shared" si="69"/>
        <v>3725</v>
      </c>
    </row>
    <row r="635" spans="1:11" x14ac:dyDescent="0.3">
      <c r="A635" t="s">
        <v>385</v>
      </c>
      <c r="B635">
        <v>150036.80499999999</v>
      </c>
      <c r="C635">
        <v>167704.8554</v>
      </c>
      <c r="D635">
        <v>4492</v>
      </c>
      <c r="E635">
        <f t="shared" si="63"/>
        <v>33.400891585040071</v>
      </c>
      <c r="F635">
        <f t="shared" si="64"/>
        <v>-17668.050400000007</v>
      </c>
      <c r="G635">
        <f t="shared" si="65"/>
        <v>-0.11775810875204926</v>
      </c>
      <c r="H635">
        <f t="shared" si="66"/>
        <v>-3.9332258236865556</v>
      </c>
      <c r="I635">
        <f t="shared" si="67"/>
        <v>37.334117408726627</v>
      </c>
      <c r="J635" t="b">
        <f t="shared" si="68"/>
        <v>0</v>
      </c>
      <c r="K635">
        <f t="shared" si="69"/>
        <v>4492</v>
      </c>
    </row>
    <row r="636" spans="1:11" x14ac:dyDescent="0.3">
      <c r="A636" t="s">
        <v>386</v>
      </c>
      <c r="B636">
        <v>368037.69189999998</v>
      </c>
      <c r="C636">
        <v>413540.80719999998</v>
      </c>
      <c r="D636">
        <v>11030</v>
      </c>
      <c r="E636">
        <f t="shared" si="63"/>
        <v>33.366971160471437</v>
      </c>
      <c r="F636">
        <f t="shared" si="64"/>
        <v>-45503.115300000005</v>
      </c>
      <c r="G636">
        <f t="shared" si="65"/>
        <v>-0.12363710647431111</v>
      </c>
      <c r="H636">
        <f t="shared" si="66"/>
        <v>-4.1253957660924812</v>
      </c>
      <c r="I636">
        <f t="shared" si="67"/>
        <v>37.492366926563918</v>
      </c>
      <c r="J636" t="b">
        <f t="shared" si="68"/>
        <v>0</v>
      </c>
      <c r="K636">
        <f t="shared" si="69"/>
        <v>11030</v>
      </c>
    </row>
    <row r="637" spans="1:11" x14ac:dyDescent="0.3">
      <c r="A637" t="s">
        <v>387</v>
      </c>
      <c r="B637">
        <v>351319.63809999998</v>
      </c>
      <c r="C637">
        <v>397626.58510000003</v>
      </c>
      <c r="D637">
        <v>10528</v>
      </c>
      <c r="E637">
        <f t="shared" si="63"/>
        <v>33.370026415273557</v>
      </c>
      <c r="F637">
        <f t="shared" si="64"/>
        <v>-46306.947000000044</v>
      </c>
      <c r="G637">
        <f t="shared" si="65"/>
        <v>-0.13180859245568044</v>
      </c>
      <c r="H637">
        <f t="shared" si="66"/>
        <v>-4.3984562120060815</v>
      </c>
      <c r="I637">
        <f t="shared" si="67"/>
        <v>37.768482627279639</v>
      </c>
      <c r="J637" t="b">
        <f t="shared" si="68"/>
        <v>0</v>
      </c>
      <c r="K637">
        <f t="shared" si="69"/>
        <v>10528</v>
      </c>
    </row>
    <row r="638" spans="1:11" x14ac:dyDescent="0.3">
      <c r="A638" t="s">
        <v>388</v>
      </c>
      <c r="B638">
        <v>163289.93669999999</v>
      </c>
      <c r="C638">
        <v>185404.04399999999</v>
      </c>
      <c r="D638">
        <v>4895</v>
      </c>
      <c r="E638">
        <f t="shared" si="63"/>
        <v>33.358516179775279</v>
      </c>
      <c r="F638">
        <f t="shared" si="64"/>
        <v>-22114.107300000003</v>
      </c>
      <c r="G638">
        <f t="shared" si="65"/>
        <v>-0.13542847616279347</v>
      </c>
      <c r="H638">
        <f t="shared" si="66"/>
        <v>-4.5176930132788584</v>
      </c>
      <c r="I638">
        <f t="shared" si="67"/>
        <v>37.876209193054137</v>
      </c>
      <c r="J638" t="b">
        <f t="shared" si="68"/>
        <v>0</v>
      </c>
      <c r="K638">
        <f t="shared" si="69"/>
        <v>4895</v>
      </c>
    </row>
    <row r="639" spans="1:11" x14ac:dyDescent="0.3">
      <c r="A639" t="s">
        <v>389</v>
      </c>
      <c r="B639">
        <v>190892.459</v>
      </c>
      <c r="C639">
        <v>216571.0595</v>
      </c>
      <c r="D639">
        <v>5720</v>
      </c>
      <c r="E639">
        <f t="shared" si="63"/>
        <v>33.372807517482521</v>
      </c>
      <c r="F639">
        <f t="shared" si="64"/>
        <v>-25678.6005</v>
      </c>
      <c r="G639">
        <f t="shared" si="65"/>
        <v>-0.13451867420284003</v>
      </c>
      <c r="H639">
        <f t="shared" si="66"/>
        <v>-4.4892658216783161</v>
      </c>
      <c r="I639">
        <f t="shared" si="67"/>
        <v>37.862073339160837</v>
      </c>
      <c r="J639" t="b">
        <f t="shared" si="68"/>
        <v>0</v>
      </c>
      <c r="K639">
        <f t="shared" si="69"/>
        <v>5720</v>
      </c>
    </row>
    <row r="640" spans="1:11" x14ac:dyDescent="0.3">
      <c r="A640" t="s">
        <v>390</v>
      </c>
      <c r="B640">
        <v>143082.13329999999</v>
      </c>
      <c r="C640">
        <v>162929.01850000001</v>
      </c>
      <c r="D640">
        <v>4288</v>
      </c>
      <c r="E640">
        <f t="shared" si="63"/>
        <v>33.368034818097009</v>
      </c>
      <c r="F640">
        <f t="shared" si="64"/>
        <v>-19846.885200000019</v>
      </c>
      <c r="G640">
        <f t="shared" si="65"/>
        <v>-0.13870973784257953</v>
      </c>
      <c r="H640">
        <f t="shared" si="66"/>
        <v>-4.6284713619403064</v>
      </c>
      <c r="I640">
        <f t="shared" si="67"/>
        <v>37.996506180037315</v>
      </c>
      <c r="J640" t="b">
        <f t="shared" si="68"/>
        <v>0</v>
      </c>
      <c r="K640">
        <f t="shared" si="69"/>
        <v>4288</v>
      </c>
    </row>
    <row r="641" spans="1:11" x14ac:dyDescent="0.3">
      <c r="A641" t="s">
        <v>391</v>
      </c>
      <c r="B641">
        <v>323548.78529999999</v>
      </c>
      <c r="C641">
        <v>368434.88589999999</v>
      </c>
      <c r="D641">
        <v>9693</v>
      </c>
      <c r="E641">
        <f t="shared" si="63"/>
        <v>33.379633271432994</v>
      </c>
      <c r="F641">
        <f t="shared" si="64"/>
        <v>-44886.100600000005</v>
      </c>
      <c r="G641">
        <f t="shared" si="65"/>
        <v>-0.13873054895996856</v>
      </c>
      <c r="H641">
        <f t="shared" si="66"/>
        <v>-4.6307748478283273</v>
      </c>
      <c r="I641">
        <f t="shared" si="67"/>
        <v>38.010408119261321</v>
      </c>
      <c r="J641" t="b">
        <f t="shared" si="68"/>
        <v>0</v>
      </c>
      <c r="K641">
        <f t="shared" si="69"/>
        <v>9693</v>
      </c>
    </row>
    <row r="642" spans="1:11" x14ac:dyDescent="0.3">
      <c r="A642" s="1">
        <v>42014</v>
      </c>
      <c r="B642">
        <v>402312.33319999999</v>
      </c>
      <c r="C642">
        <v>459285.80450000003</v>
      </c>
      <c r="D642">
        <v>12065</v>
      </c>
      <c r="E642">
        <f t="shared" si="63"/>
        <v>33.345406813095728</v>
      </c>
      <c r="F642">
        <f t="shared" si="64"/>
        <v>-56973.471300000034</v>
      </c>
      <c r="G642">
        <f t="shared" si="65"/>
        <v>-0.14161502543765425</v>
      </c>
      <c r="H642">
        <f t="shared" si="66"/>
        <v>-4.7222106340654832</v>
      </c>
      <c r="I642">
        <f t="shared" si="67"/>
        <v>38.067617447161211</v>
      </c>
      <c r="J642" t="b">
        <f t="shared" si="68"/>
        <v>0</v>
      </c>
      <c r="K642">
        <f t="shared" si="69"/>
        <v>12065</v>
      </c>
    </row>
    <row r="643" spans="1:11" x14ac:dyDescent="0.3">
      <c r="A643" s="1">
        <v>42045</v>
      </c>
      <c r="B643">
        <v>393635.17489999998</v>
      </c>
      <c r="C643">
        <v>448390.96580000001</v>
      </c>
      <c r="D643">
        <v>11758</v>
      </c>
      <c r="E643">
        <f t="shared" ref="E643:E706" si="70">B643/D643</f>
        <v>33.478072367749618</v>
      </c>
      <c r="F643">
        <f t="shared" ref="F643:F706" si="71">B643-C643</f>
        <v>-54755.790900000022</v>
      </c>
      <c r="G643">
        <f t="shared" ref="G643:H706" si="72">F643/B643</f>
        <v>-0.13910289118321378</v>
      </c>
      <c r="H643">
        <f t="shared" ref="H643:H706" si="73">E643-I643</f>
        <v>-4.6568966575948281</v>
      </c>
      <c r="I643">
        <f t="shared" ref="I643:I706" si="74">C643/D643</f>
        <v>38.134969025344446</v>
      </c>
      <c r="J643" t="b">
        <f t="shared" ref="J643:J706" si="75">H643&gt;0</f>
        <v>0</v>
      </c>
      <c r="K643">
        <f t="shared" ref="K643:K706" si="76">D643</f>
        <v>11758</v>
      </c>
    </row>
    <row r="644" spans="1:11" x14ac:dyDescent="0.3">
      <c r="A644" s="1">
        <v>42073</v>
      </c>
      <c r="B644">
        <v>451100.0601</v>
      </c>
      <c r="C644">
        <v>515549.38990000001</v>
      </c>
      <c r="D644">
        <v>13508</v>
      </c>
      <c r="E644">
        <f t="shared" si="70"/>
        <v>33.395029619484752</v>
      </c>
      <c r="F644">
        <f t="shared" si="71"/>
        <v>-64449.329800000007</v>
      </c>
      <c r="G644">
        <f t="shared" si="72"/>
        <v>-0.14287147243055756</v>
      </c>
      <c r="H644">
        <f t="shared" si="73"/>
        <v>-4.7711970535978665</v>
      </c>
      <c r="I644">
        <f t="shared" si="74"/>
        <v>38.166226673082619</v>
      </c>
      <c r="J644" t="b">
        <f t="shared" si="75"/>
        <v>0</v>
      </c>
      <c r="K644">
        <f t="shared" si="76"/>
        <v>13508</v>
      </c>
    </row>
    <row r="645" spans="1:11" x14ac:dyDescent="0.3">
      <c r="A645" s="1">
        <v>42104</v>
      </c>
      <c r="B645">
        <v>202902.6249</v>
      </c>
      <c r="C645">
        <v>232360.3272</v>
      </c>
      <c r="D645">
        <v>6085</v>
      </c>
      <c r="E645">
        <f t="shared" si="70"/>
        <v>33.34472060805259</v>
      </c>
      <c r="F645">
        <f t="shared" si="71"/>
        <v>-29457.702300000004</v>
      </c>
      <c r="G645">
        <f t="shared" si="72"/>
        <v>-0.14518147468283446</v>
      </c>
      <c r="H645">
        <f t="shared" si="73"/>
        <v>-4.8410357107641744</v>
      </c>
      <c r="I645">
        <f t="shared" si="74"/>
        <v>38.185756318816765</v>
      </c>
      <c r="J645" t="b">
        <f t="shared" si="75"/>
        <v>0</v>
      </c>
      <c r="K645">
        <f t="shared" si="76"/>
        <v>6085</v>
      </c>
    </row>
    <row r="646" spans="1:11" x14ac:dyDescent="0.3">
      <c r="A646" s="1">
        <v>42134</v>
      </c>
      <c r="B646">
        <v>294557.64640000003</v>
      </c>
      <c r="C646">
        <v>336897.92239999998</v>
      </c>
      <c r="D646">
        <v>8828</v>
      </c>
      <c r="E646">
        <f t="shared" si="70"/>
        <v>33.366294336202991</v>
      </c>
      <c r="F646">
        <f t="shared" si="71"/>
        <v>-42340.275999999954</v>
      </c>
      <c r="G646">
        <f t="shared" si="72"/>
        <v>-0.14374190083832755</v>
      </c>
      <c r="H646">
        <f t="shared" si="73"/>
        <v>-4.7961345718169426</v>
      </c>
      <c r="I646">
        <f t="shared" si="74"/>
        <v>38.162428908019933</v>
      </c>
      <c r="J646" t="b">
        <f t="shared" si="75"/>
        <v>0</v>
      </c>
      <c r="K646">
        <f t="shared" si="76"/>
        <v>8828</v>
      </c>
    </row>
    <row r="647" spans="1:11" x14ac:dyDescent="0.3">
      <c r="A647" s="1">
        <v>42165</v>
      </c>
      <c r="B647">
        <v>221618.32819999999</v>
      </c>
      <c r="C647">
        <v>253291.06229999999</v>
      </c>
      <c r="D647">
        <v>6636</v>
      </c>
      <c r="E647">
        <f t="shared" si="70"/>
        <v>33.39637254370102</v>
      </c>
      <c r="F647">
        <f t="shared" si="71"/>
        <v>-31672.734100000001</v>
      </c>
      <c r="G647">
        <f t="shared" si="72"/>
        <v>-0.14291568011205674</v>
      </c>
      <c r="H647">
        <f t="shared" si="73"/>
        <v>-4.7728652953586561</v>
      </c>
      <c r="I647">
        <f t="shared" si="74"/>
        <v>38.169237839059676</v>
      </c>
      <c r="J647" t="b">
        <f t="shared" si="75"/>
        <v>0</v>
      </c>
      <c r="K647">
        <f t="shared" si="76"/>
        <v>6636</v>
      </c>
    </row>
    <row r="648" spans="1:11" x14ac:dyDescent="0.3">
      <c r="A648" s="1">
        <v>42195</v>
      </c>
      <c r="B648">
        <v>63968.38248</v>
      </c>
      <c r="C648">
        <v>61942.842680000002</v>
      </c>
      <c r="D648">
        <v>1622</v>
      </c>
      <c r="E648">
        <f t="shared" si="70"/>
        <v>39.437967003699136</v>
      </c>
      <c r="F648">
        <f t="shared" si="71"/>
        <v>2025.5397999999986</v>
      </c>
      <c r="G648">
        <f t="shared" si="72"/>
        <v>3.1664702490066754E-2</v>
      </c>
      <c r="H648">
        <f t="shared" si="73"/>
        <v>1.2487914919852017</v>
      </c>
      <c r="I648">
        <f t="shared" si="74"/>
        <v>38.189175511713934</v>
      </c>
      <c r="J648" t="b">
        <f t="shared" si="75"/>
        <v>1</v>
      </c>
      <c r="K648">
        <f t="shared" si="76"/>
        <v>1622</v>
      </c>
    </row>
    <row r="649" spans="1:11" x14ac:dyDescent="0.3">
      <c r="A649" s="1">
        <v>42226</v>
      </c>
      <c r="B649">
        <v>59609.544710000002</v>
      </c>
      <c r="C649">
        <v>57736.47666</v>
      </c>
      <c r="D649">
        <v>1512</v>
      </c>
      <c r="E649">
        <f t="shared" si="70"/>
        <v>39.424302056878311</v>
      </c>
      <c r="F649">
        <f t="shared" si="71"/>
        <v>1873.0680500000017</v>
      </c>
      <c r="G649">
        <f t="shared" si="72"/>
        <v>3.1422284117626868E-2</v>
      </c>
      <c r="H649">
        <f t="shared" si="73"/>
        <v>1.2388016203703742</v>
      </c>
      <c r="I649">
        <f t="shared" si="74"/>
        <v>38.185500436507937</v>
      </c>
      <c r="J649" t="b">
        <f t="shared" si="75"/>
        <v>1</v>
      </c>
      <c r="K649">
        <f t="shared" si="76"/>
        <v>1512</v>
      </c>
    </row>
    <row r="650" spans="1:11" x14ac:dyDescent="0.3">
      <c r="A650" s="1">
        <v>42257</v>
      </c>
      <c r="B650">
        <v>126588.253</v>
      </c>
      <c r="C650">
        <v>122622.3631</v>
      </c>
      <c r="D650">
        <v>3211</v>
      </c>
      <c r="E650">
        <f t="shared" si="70"/>
        <v>39.423311429461229</v>
      </c>
      <c r="F650">
        <f t="shared" si="71"/>
        <v>3965.8898999999947</v>
      </c>
      <c r="G650">
        <f t="shared" si="72"/>
        <v>3.1329051519496005E-2</v>
      </c>
      <c r="H650">
        <f t="shared" si="73"/>
        <v>1.2350949548427295</v>
      </c>
      <c r="I650">
        <f t="shared" si="74"/>
        <v>38.1882164746185</v>
      </c>
      <c r="J650" t="b">
        <f t="shared" si="75"/>
        <v>1</v>
      </c>
      <c r="K650">
        <f t="shared" si="76"/>
        <v>3211</v>
      </c>
    </row>
    <row r="651" spans="1:11" x14ac:dyDescent="0.3">
      <c r="A651" s="1">
        <v>42287</v>
      </c>
      <c r="B651">
        <v>119755.0116</v>
      </c>
      <c r="C651">
        <v>116003.6869</v>
      </c>
      <c r="D651">
        <v>3037</v>
      </c>
      <c r="E651">
        <f t="shared" si="70"/>
        <v>39.432009087915702</v>
      </c>
      <c r="F651">
        <f t="shared" si="71"/>
        <v>3751.3246999999974</v>
      </c>
      <c r="G651">
        <f t="shared" si="72"/>
        <v>3.1324991329214631E-2</v>
      </c>
      <c r="H651">
        <f t="shared" si="73"/>
        <v>1.235207342772469</v>
      </c>
      <c r="I651">
        <f t="shared" si="74"/>
        <v>38.196801745143233</v>
      </c>
      <c r="J651" t="b">
        <f t="shared" si="75"/>
        <v>1</v>
      </c>
      <c r="K651">
        <f t="shared" si="76"/>
        <v>3037</v>
      </c>
    </row>
    <row r="652" spans="1:11" x14ac:dyDescent="0.3">
      <c r="A652" s="1">
        <v>42318</v>
      </c>
      <c r="B652">
        <v>57413.410479999999</v>
      </c>
      <c r="C652">
        <v>55617.584640000001</v>
      </c>
      <c r="D652">
        <v>1456</v>
      </c>
      <c r="E652">
        <f t="shared" si="70"/>
        <v>39.432287417582415</v>
      </c>
      <c r="F652">
        <f t="shared" si="71"/>
        <v>1795.8258399999977</v>
      </c>
      <c r="G652">
        <f t="shared" si="72"/>
        <v>3.1278856716334152E-2</v>
      </c>
      <c r="H652">
        <f t="shared" si="73"/>
        <v>1.2333968681318623</v>
      </c>
      <c r="I652">
        <f t="shared" si="74"/>
        <v>38.198890549450553</v>
      </c>
      <c r="J652" t="b">
        <f t="shared" si="75"/>
        <v>1</v>
      </c>
      <c r="K652">
        <f t="shared" si="76"/>
        <v>1456</v>
      </c>
    </row>
    <row r="653" spans="1:11" x14ac:dyDescent="0.3">
      <c r="A653" s="1">
        <v>42348</v>
      </c>
      <c r="B653">
        <v>57749.136939999997</v>
      </c>
      <c r="C653">
        <v>55933.008580000002</v>
      </c>
      <c r="D653">
        <v>1465</v>
      </c>
      <c r="E653">
        <f t="shared" si="70"/>
        <v>39.419206102389076</v>
      </c>
      <c r="F653">
        <f t="shared" si="71"/>
        <v>1816.1283599999952</v>
      </c>
      <c r="G653">
        <f t="shared" si="72"/>
        <v>3.1448580121412203E-2</v>
      </c>
      <c r="H653">
        <f t="shared" si="73"/>
        <v>1.2396780614334446</v>
      </c>
      <c r="I653">
        <f t="shared" si="74"/>
        <v>38.179528040955631</v>
      </c>
      <c r="J653" t="b">
        <f t="shared" si="75"/>
        <v>1</v>
      </c>
      <c r="K653">
        <f t="shared" si="76"/>
        <v>1465</v>
      </c>
    </row>
    <row r="654" spans="1:11" x14ac:dyDescent="0.3">
      <c r="A654" t="s">
        <v>392</v>
      </c>
      <c r="B654">
        <v>40140.820030000003</v>
      </c>
      <c r="C654">
        <v>38881.08844</v>
      </c>
      <c r="D654">
        <v>1018</v>
      </c>
      <c r="E654">
        <f t="shared" si="70"/>
        <v>39.43106093320236</v>
      </c>
      <c r="F654">
        <f t="shared" si="71"/>
        <v>1259.7315900000031</v>
      </c>
      <c r="G654">
        <f t="shared" si="72"/>
        <v>3.1382806555982634E-2</v>
      </c>
      <c r="H654">
        <f t="shared" si="73"/>
        <v>1.237457357563855</v>
      </c>
      <c r="I654">
        <f t="shared" si="74"/>
        <v>38.193603575638505</v>
      </c>
      <c r="J654" t="b">
        <f t="shared" si="75"/>
        <v>1</v>
      </c>
      <c r="K654">
        <f t="shared" si="76"/>
        <v>1018</v>
      </c>
    </row>
    <row r="655" spans="1:11" x14ac:dyDescent="0.3">
      <c r="A655" t="s">
        <v>393</v>
      </c>
      <c r="B655">
        <v>42195.817360000001</v>
      </c>
      <c r="C655">
        <v>40869.249470000002</v>
      </c>
      <c r="D655">
        <v>1070</v>
      </c>
      <c r="E655">
        <f t="shared" si="70"/>
        <v>39.435343327102807</v>
      </c>
      <c r="F655">
        <f t="shared" si="71"/>
        <v>1326.5678899999984</v>
      </c>
      <c r="G655">
        <f t="shared" si="72"/>
        <v>3.1438374061632308E-2</v>
      </c>
      <c r="H655">
        <f t="shared" si="73"/>
        <v>1.2397830747663576</v>
      </c>
      <c r="I655">
        <f t="shared" si="74"/>
        <v>38.195560252336449</v>
      </c>
      <c r="J655" t="b">
        <f t="shared" si="75"/>
        <v>1</v>
      </c>
      <c r="K655">
        <f t="shared" si="76"/>
        <v>1070</v>
      </c>
    </row>
    <row r="656" spans="1:11" x14ac:dyDescent="0.3">
      <c r="A656" t="s">
        <v>394</v>
      </c>
      <c r="B656">
        <v>53490.797469999998</v>
      </c>
      <c r="C656">
        <v>51799.1659</v>
      </c>
      <c r="D656">
        <v>1357</v>
      </c>
      <c r="E656">
        <f t="shared" si="70"/>
        <v>39.4184211274871</v>
      </c>
      <c r="F656">
        <f t="shared" si="71"/>
        <v>1691.6315699999977</v>
      </c>
      <c r="G656">
        <f t="shared" si="72"/>
        <v>3.1624721447623572E-2</v>
      </c>
      <c r="H656">
        <f t="shared" si="73"/>
        <v>1.2465965880618981</v>
      </c>
      <c r="I656">
        <f t="shared" si="74"/>
        <v>38.171824539425202</v>
      </c>
      <c r="J656" t="b">
        <f t="shared" si="75"/>
        <v>1</v>
      </c>
      <c r="K656">
        <f t="shared" si="76"/>
        <v>1357</v>
      </c>
    </row>
    <row r="657" spans="1:11" x14ac:dyDescent="0.3">
      <c r="A657" t="s">
        <v>395</v>
      </c>
      <c r="B657">
        <v>110809.3158</v>
      </c>
      <c r="C657">
        <v>107331.98050000001</v>
      </c>
      <c r="D657">
        <v>2810</v>
      </c>
      <c r="E657">
        <f t="shared" si="70"/>
        <v>39.43392021352313</v>
      </c>
      <c r="F657">
        <f t="shared" si="71"/>
        <v>3477.3352999999915</v>
      </c>
      <c r="G657">
        <f t="shared" si="72"/>
        <v>3.1381254138201184E-2</v>
      </c>
      <c r="H657">
        <f t="shared" si="73"/>
        <v>1.2374858718861148</v>
      </c>
      <c r="I657">
        <f t="shared" si="74"/>
        <v>38.196434341637016</v>
      </c>
      <c r="J657" t="b">
        <f t="shared" si="75"/>
        <v>1</v>
      </c>
      <c r="K657">
        <f t="shared" si="76"/>
        <v>2810</v>
      </c>
    </row>
    <row r="658" spans="1:11" x14ac:dyDescent="0.3">
      <c r="A658" t="s">
        <v>396</v>
      </c>
      <c r="B658">
        <v>111527.0135</v>
      </c>
      <c r="C658">
        <v>108023.6073</v>
      </c>
      <c r="D658">
        <v>2829</v>
      </c>
      <c r="E658">
        <f t="shared" si="70"/>
        <v>39.422768999646522</v>
      </c>
      <c r="F658">
        <f t="shared" si="71"/>
        <v>3503.4061999999976</v>
      </c>
      <c r="G658">
        <f t="shared" si="72"/>
        <v>3.1413072851627984E-2</v>
      </c>
      <c r="H658">
        <f t="shared" si="73"/>
        <v>1.2383903145988029</v>
      </c>
      <c r="I658">
        <f t="shared" si="74"/>
        <v>38.184378685047719</v>
      </c>
      <c r="J658" t="b">
        <f t="shared" si="75"/>
        <v>1</v>
      </c>
      <c r="K658">
        <f t="shared" si="76"/>
        <v>2829</v>
      </c>
    </row>
    <row r="659" spans="1:11" x14ac:dyDescent="0.3">
      <c r="A659" t="s">
        <v>397</v>
      </c>
      <c r="B659">
        <v>59808.13867</v>
      </c>
      <c r="C659">
        <v>57937.458659999997</v>
      </c>
      <c r="D659">
        <v>1517</v>
      </c>
      <c r="E659">
        <f t="shared" si="70"/>
        <v>39.425272689518785</v>
      </c>
      <c r="F659">
        <f t="shared" si="71"/>
        <v>1870.6800100000037</v>
      </c>
      <c r="G659">
        <f t="shared" si="72"/>
        <v>3.1278017534064208E-2</v>
      </c>
      <c r="H659">
        <f t="shared" si="73"/>
        <v>1.2331443704680325</v>
      </c>
      <c r="I659">
        <f t="shared" si="74"/>
        <v>38.192128319050752</v>
      </c>
      <c r="J659" t="b">
        <f t="shared" si="75"/>
        <v>1</v>
      </c>
      <c r="K659">
        <f t="shared" si="76"/>
        <v>1517</v>
      </c>
    </row>
    <row r="660" spans="1:11" x14ac:dyDescent="0.3">
      <c r="A660" t="s">
        <v>398</v>
      </c>
      <c r="B660">
        <v>55166.22623</v>
      </c>
      <c r="C660">
        <v>53436.897089999999</v>
      </c>
      <c r="D660">
        <v>1399</v>
      </c>
      <c r="E660">
        <f t="shared" si="70"/>
        <v>39.432613459614011</v>
      </c>
      <c r="F660">
        <f t="shared" si="71"/>
        <v>1729.3291400000016</v>
      </c>
      <c r="G660">
        <f t="shared" si="72"/>
        <v>3.1347606283417907E-2</v>
      </c>
      <c r="H660">
        <f t="shared" si="73"/>
        <v>1.2361180414581838</v>
      </c>
      <c r="I660">
        <f t="shared" si="74"/>
        <v>38.196495418155827</v>
      </c>
      <c r="J660" t="b">
        <f t="shared" si="75"/>
        <v>1</v>
      </c>
      <c r="K660">
        <f t="shared" si="76"/>
        <v>1399</v>
      </c>
    </row>
    <row r="661" spans="1:11" x14ac:dyDescent="0.3">
      <c r="A661" t="s">
        <v>399</v>
      </c>
      <c r="B661">
        <v>42054.680469999999</v>
      </c>
      <c r="C661">
        <v>40736.150479999997</v>
      </c>
      <c r="D661">
        <v>1067</v>
      </c>
      <c r="E661">
        <f t="shared" si="70"/>
        <v>39.413946082474226</v>
      </c>
      <c r="F661">
        <f t="shared" si="71"/>
        <v>1318.5299900000027</v>
      </c>
      <c r="G661">
        <f t="shared" si="72"/>
        <v>3.1352752541791047E-2</v>
      </c>
      <c r="H661">
        <f t="shared" si="73"/>
        <v>1.2357356982193082</v>
      </c>
      <c r="I661">
        <f t="shared" si="74"/>
        <v>38.178210384254918</v>
      </c>
      <c r="J661" t="b">
        <f t="shared" si="75"/>
        <v>1</v>
      </c>
      <c r="K661">
        <f t="shared" si="76"/>
        <v>1067</v>
      </c>
    </row>
    <row r="662" spans="1:11" x14ac:dyDescent="0.3">
      <c r="A662" t="s">
        <v>400</v>
      </c>
      <c r="B662">
        <v>53678.179109999997</v>
      </c>
      <c r="C662">
        <v>51999.860869999997</v>
      </c>
      <c r="D662">
        <v>1361</v>
      </c>
      <c r="E662">
        <f t="shared" si="70"/>
        <v>39.440249162380603</v>
      </c>
      <c r="F662">
        <f t="shared" si="71"/>
        <v>1678.3182400000005</v>
      </c>
      <c r="G662">
        <f t="shared" si="72"/>
        <v>3.1266303511538779E-2</v>
      </c>
      <c r="H662">
        <f t="shared" si="73"/>
        <v>1.2331508008817096</v>
      </c>
      <c r="I662">
        <f t="shared" si="74"/>
        <v>38.207098361498893</v>
      </c>
      <c r="J662" t="b">
        <f t="shared" si="75"/>
        <v>1</v>
      </c>
      <c r="K662">
        <f t="shared" si="76"/>
        <v>1361</v>
      </c>
    </row>
    <row r="663" spans="1:11" x14ac:dyDescent="0.3">
      <c r="A663" t="s">
        <v>401</v>
      </c>
      <c r="B663">
        <v>55930.168640000004</v>
      </c>
      <c r="C663">
        <v>54177.690060000001</v>
      </c>
      <c r="D663">
        <v>1419</v>
      </c>
      <c r="E663">
        <f t="shared" si="70"/>
        <v>39.41519988724454</v>
      </c>
      <c r="F663">
        <f t="shared" si="71"/>
        <v>1752.4785800000027</v>
      </c>
      <c r="G663">
        <f t="shared" si="72"/>
        <v>3.1333332664880781E-2</v>
      </c>
      <c r="H663">
        <f t="shared" si="73"/>
        <v>1.2350095701198072</v>
      </c>
      <c r="I663">
        <f t="shared" si="74"/>
        <v>38.180190317124733</v>
      </c>
      <c r="J663" t="b">
        <f t="shared" si="75"/>
        <v>1</v>
      </c>
      <c r="K663">
        <f t="shared" si="76"/>
        <v>1419</v>
      </c>
    </row>
    <row r="664" spans="1:11" x14ac:dyDescent="0.3">
      <c r="A664" t="s">
        <v>402</v>
      </c>
      <c r="B664">
        <v>185771.00150000001</v>
      </c>
      <c r="C664">
        <v>192527.011</v>
      </c>
      <c r="D664">
        <v>5042</v>
      </c>
      <c r="E664">
        <f t="shared" si="70"/>
        <v>36.844704779849266</v>
      </c>
      <c r="F664">
        <f t="shared" si="71"/>
        <v>-6756.0094999999856</v>
      </c>
      <c r="G664">
        <f t="shared" si="72"/>
        <v>-3.6367406352169472E-2</v>
      </c>
      <c r="H664">
        <f t="shared" si="73"/>
        <v>-1.3399463506545004</v>
      </c>
      <c r="I664">
        <f t="shared" si="74"/>
        <v>38.184651130503767</v>
      </c>
      <c r="J664" t="b">
        <f t="shared" si="75"/>
        <v>0</v>
      </c>
      <c r="K664">
        <f t="shared" si="76"/>
        <v>5042</v>
      </c>
    </row>
    <row r="665" spans="1:11" x14ac:dyDescent="0.3">
      <c r="A665" t="s">
        <v>403</v>
      </c>
      <c r="B665">
        <v>253116.91320000001</v>
      </c>
      <c r="C665">
        <v>262409.56939999998</v>
      </c>
      <c r="D665">
        <v>6872</v>
      </c>
      <c r="E665">
        <f t="shared" si="70"/>
        <v>36.833078172293369</v>
      </c>
      <c r="F665">
        <f t="shared" si="71"/>
        <v>-9292.6561999999685</v>
      </c>
      <c r="G665">
        <f t="shared" si="72"/>
        <v>-3.6712901095856003E-2</v>
      </c>
      <c r="H665">
        <f t="shared" si="73"/>
        <v>-1.352249155995338</v>
      </c>
      <c r="I665">
        <f t="shared" si="74"/>
        <v>38.185327328288707</v>
      </c>
      <c r="J665" t="b">
        <f t="shared" si="75"/>
        <v>0</v>
      </c>
      <c r="K665">
        <f t="shared" si="76"/>
        <v>6872</v>
      </c>
    </row>
    <row r="666" spans="1:11" x14ac:dyDescent="0.3">
      <c r="A666" t="s">
        <v>404</v>
      </c>
      <c r="B666">
        <v>118618.4537</v>
      </c>
      <c r="C666">
        <v>122915.26700000001</v>
      </c>
      <c r="D666">
        <v>3218</v>
      </c>
      <c r="E666">
        <f t="shared" si="70"/>
        <v>36.860924083281539</v>
      </c>
      <c r="F666">
        <f t="shared" si="71"/>
        <v>-4296.8133000000089</v>
      </c>
      <c r="G666">
        <f t="shared" si="72"/>
        <v>-3.6223818183190572E-2</v>
      </c>
      <c r="H666">
        <f t="shared" si="73"/>
        <v>-1.3352434120571814</v>
      </c>
      <c r="I666">
        <f t="shared" si="74"/>
        <v>38.19616749533872</v>
      </c>
      <c r="J666" t="b">
        <f t="shared" si="75"/>
        <v>0</v>
      </c>
      <c r="K666">
        <f t="shared" si="76"/>
        <v>3218</v>
      </c>
    </row>
    <row r="667" spans="1:11" x14ac:dyDescent="0.3">
      <c r="A667" t="s">
        <v>405</v>
      </c>
      <c r="B667">
        <v>123320.784</v>
      </c>
      <c r="C667">
        <v>128133.77860000001</v>
      </c>
      <c r="D667">
        <v>3347</v>
      </c>
      <c r="E667">
        <f t="shared" si="70"/>
        <v>36.84517000298775</v>
      </c>
      <c r="F667">
        <f t="shared" si="71"/>
        <v>-4812.9946000000054</v>
      </c>
      <c r="G667">
        <f t="shared" si="72"/>
        <v>-3.9028251717893758E-2</v>
      </c>
      <c r="H667">
        <f t="shared" si="73"/>
        <v>-1.4380025694651977</v>
      </c>
      <c r="I667">
        <f t="shared" si="74"/>
        <v>38.283172572452948</v>
      </c>
      <c r="J667" t="b">
        <f t="shared" si="75"/>
        <v>0</v>
      </c>
      <c r="K667">
        <f t="shared" si="76"/>
        <v>3347</v>
      </c>
    </row>
    <row r="668" spans="1:11" x14ac:dyDescent="0.3">
      <c r="A668" t="s">
        <v>406</v>
      </c>
      <c r="B668">
        <v>117051.2772</v>
      </c>
      <c r="C668">
        <v>122175.0003</v>
      </c>
      <c r="D668">
        <v>3177</v>
      </c>
      <c r="E668">
        <f t="shared" si="70"/>
        <v>36.843335599622286</v>
      </c>
      <c r="F668">
        <f t="shared" si="71"/>
        <v>-5123.7231000000029</v>
      </c>
      <c r="G668">
        <f t="shared" si="72"/>
        <v>-4.3773320740835141E-2</v>
      </c>
      <c r="H668">
        <f t="shared" si="73"/>
        <v>-1.612755146364492</v>
      </c>
      <c r="I668">
        <f t="shared" si="74"/>
        <v>38.456090745986778</v>
      </c>
      <c r="J668" t="b">
        <f t="shared" si="75"/>
        <v>0</v>
      </c>
      <c r="K668">
        <f t="shared" si="76"/>
        <v>3177</v>
      </c>
    </row>
    <row r="669" spans="1:11" x14ac:dyDescent="0.3">
      <c r="A669" t="s">
        <v>407</v>
      </c>
      <c r="B669">
        <v>159299.98910000001</v>
      </c>
      <c r="C669">
        <v>174699.07670000001</v>
      </c>
      <c r="D669">
        <v>4532</v>
      </c>
      <c r="E669">
        <f t="shared" si="70"/>
        <v>35.150041725507506</v>
      </c>
      <c r="F669">
        <f t="shared" si="71"/>
        <v>-15399.087599999999</v>
      </c>
      <c r="G669">
        <f t="shared" si="72"/>
        <v>-9.6667223186897244E-2</v>
      </c>
      <c r="H669">
        <f t="shared" si="73"/>
        <v>-3.3978569285083822</v>
      </c>
      <c r="I669">
        <f t="shared" si="74"/>
        <v>38.547898654015889</v>
      </c>
      <c r="J669" t="b">
        <f t="shared" si="75"/>
        <v>0</v>
      </c>
      <c r="K669">
        <f t="shared" si="76"/>
        <v>4532</v>
      </c>
    </row>
    <row r="670" spans="1:11" x14ac:dyDescent="0.3">
      <c r="A670" t="s">
        <v>408</v>
      </c>
      <c r="B670">
        <v>119047.4099</v>
      </c>
      <c r="C670">
        <v>124349.26549999999</v>
      </c>
      <c r="D670">
        <v>3231</v>
      </c>
      <c r="E670">
        <f t="shared" si="70"/>
        <v>36.845376013618072</v>
      </c>
      <c r="F670">
        <f t="shared" si="71"/>
        <v>-5301.8555999999953</v>
      </c>
      <c r="G670">
        <f t="shared" si="72"/>
        <v>-4.4535665282038152E-2</v>
      </c>
      <c r="H670">
        <f t="shared" si="73"/>
        <v>-1.6409333333333365</v>
      </c>
      <c r="I670">
        <f t="shared" si="74"/>
        <v>38.486309346951408</v>
      </c>
      <c r="J670" t="b">
        <f t="shared" si="75"/>
        <v>0</v>
      </c>
      <c r="K670">
        <f t="shared" si="76"/>
        <v>3231</v>
      </c>
    </row>
    <row r="671" spans="1:11" x14ac:dyDescent="0.3">
      <c r="A671" t="s">
        <v>409</v>
      </c>
      <c r="B671">
        <v>285081.9743</v>
      </c>
      <c r="C671">
        <v>297627.69069999998</v>
      </c>
      <c r="D671">
        <v>7731</v>
      </c>
      <c r="E671">
        <f t="shared" si="70"/>
        <v>36.875174531108527</v>
      </c>
      <c r="F671">
        <f t="shared" si="71"/>
        <v>-12545.716399999976</v>
      </c>
      <c r="G671">
        <f t="shared" si="72"/>
        <v>-4.4007399734077031E-2</v>
      </c>
      <c r="H671">
        <f t="shared" si="73"/>
        <v>-1.6227805458543472</v>
      </c>
      <c r="I671">
        <f t="shared" si="74"/>
        <v>38.497955076962874</v>
      </c>
      <c r="J671" t="b">
        <f t="shared" si="75"/>
        <v>0</v>
      </c>
      <c r="K671">
        <f t="shared" si="76"/>
        <v>7731</v>
      </c>
    </row>
    <row r="672" spans="1:11" x14ac:dyDescent="0.3">
      <c r="A672" t="s">
        <v>410</v>
      </c>
      <c r="B672">
        <v>391656.21260000003</v>
      </c>
      <c r="C672">
        <v>429832.83480000001</v>
      </c>
      <c r="D672">
        <v>11148</v>
      </c>
      <c r="E672">
        <f t="shared" si="70"/>
        <v>35.132419501255832</v>
      </c>
      <c r="F672">
        <f t="shared" si="71"/>
        <v>-38176.622199999983</v>
      </c>
      <c r="G672">
        <f t="shared" si="72"/>
        <v>-9.7474828617080844E-2</v>
      </c>
      <c r="H672">
        <f t="shared" si="73"/>
        <v>-3.4245265697883056</v>
      </c>
      <c r="I672">
        <f t="shared" si="74"/>
        <v>38.556946071044138</v>
      </c>
      <c r="J672" t="b">
        <f t="shared" si="75"/>
        <v>0</v>
      </c>
      <c r="K672">
        <f t="shared" si="76"/>
        <v>11148</v>
      </c>
    </row>
    <row r="673" spans="1:11" x14ac:dyDescent="0.3">
      <c r="A673" s="1">
        <v>42015</v>
      </c>
      <c r="B673">
        <v>274814.7781</v>
      </c>
      <c r="C673">
        <v>287978.17489999998</v>
      </c>
      <c r="D673">
        <v>7459</v>
      </c>
      <c r="E673">
        <f t="shared" si="70"/>
        <v>36.843380895562404</v>
      </c>
      <c r="F673">
        <f t="shared" si="71"/>
        <v>-13163.396799999988</v>
      </c>
      <c r="G673">
        <f t="shared" si="72"/>
        <v>-4.7899159175530483E-2</v>
      </c>
      <c r="H673">
        <f t="shared" si="73"/>
        <v>-1.7647669660812468</v>
      </c>
      <c r="I673">
        <f t="shared" si="74"/>
        <v>38.608147861643651</v>
      </c>
      <c r="J673" t="b">
        <f t="shared" si="75"/>
        <v>0</v>
      </c>
      <c r="K673">
        <f t="shared" si="76"/>
        <v>7459</v>
      </c>
    </row>
    <row r="674" spans="1:11" x14ac:dyDescent="0.3">
      <c r="A674" s="1">
        <v>42046</v>
      </c>
      <c r="B674">
        <v>269555.02309999999</v>
      </c>
      <c r="C674">
        <v>281915.19209999999</v>
      </c>
      <c r="D674">
        <v>7316</v>
      </c>
      <c r="E674">
        <f t="shared" si="70"/>
        <v>36.844590363586661</v>
      </c>
      <c r="F674">
        <f t="shared" si="71"/>
        <v>-12360.168999999994</v>
      </c>
      <c r="G674">
        <f t="shared" si="72"/>
        <v>-4.5853973922847645E-2</v>
      </c>
      <c r="H674">
        <f t="shared" si="73"/>
        <v>-1.6894708857299037</v>
      </c>
      <c r="I674">
        <f t="shared" si="74"/>
        <v>38.534061249316565</v>
      </c>
      <c r="J674" t="b">
        <f t="shared" si="75"/>
        <v>0</v>
      </c>
      <c r="K674">
        <f t="shared" si="76"/>
        <v>7316</v>
      </c>
    </row>
    <row r="675" spans="1:11" x14ac:dyDescent="0.3">
      <c r="A675" s="1">
        <v>42074</v>
      </c>
      <c r="B675">
        <v>192001.03460000001</v>
      </c>
      <c r="C675">
        <v>201125.77549999999</v>
      </c>
      <c r="D675">
        <v>5211</v>
      </c>
      <c r="E675">
        <f t="shared" si="70"/>
        <v>36.845333832277873</v>
      </c>
      <c r="F675">
        <f t="shared" si="71"/>
        <v>-9124.7408999999752</v>
      </c>
      <c r="G675">
        <f t="shared" si="72"/>
        <v>-4.7524436100095754E-2</v>
      </c>
      <c r="H675">
        <f t="shared" si="73"/>
        <v>-1.7510537132987878</v>
      </c>
      <c r="I675">
        <f t="shared" si="74"/>
        <v>38.596387545576661</v>
      </c>
      <c r="J675" t="b">
        <f t="shared" si="75"/>
        <v>0</v>
      </c>
      <c r="K675">
        <f t="shared" si="76"/>
        <v>5211</v>
      </c>
    </row>
    <row r="676" spans="1:11" x14ac:dyDescent="0.3">
      <c r="A676" s="1">
        <v>42105</v>
      </c>
      <c r="B676">
        <v>201367.78700000001</v>
      </c>
      <c r="C676">
        <v>220579.99559999999</v>
      </c>
      <c r="D676">
        <v>5731</v>
      </c>
      <c r="E676">
        <f t="shared" si="70"/>
        <v>35.136588204501834</v>
      </c>
      <c r="F676">
        <f t="shared" si="71"/>
        <v>-19212.208599999984</v>
      </c>
      <c r="G676">
        <f t="shared" si="72"/>
        <v>-9.5408550127235509E-2</v>
      </c>
      <c r="H676">
        <f t="shared" si="73"/>
        <v>-3.352330937009242</v>
      </c>
      <c r="I676">
        <f t="shared" si="74"/>
        <v>38.488919141511076</v>
      </c>
      <c r="J676" t="b">
        <f t="shared" si="75"/>
        <v>0</v>
      </c>
      <c r="K676">
        <f t="shared" si="76"/>
        <v>5731</v>
      </c>
    </row>
    <row r="677" spans="1:11" x14ac:dyDescent="0.3">
      <c r="A677" s="1">
        <v>42135</v>
      </c>
      <c r="B677">
        <v>111874.55899999999</v>
      </c>
      <c r="C677">
        <v>116637.0343</v>
      </c>
      <c r="D677">
        <v>3036</v>
      </c>
      <c r="E677">
        <f t="shared" si="70"/>
        <v>36.849327733860342</v>
      </c>
      <c r="F677">
        <f t="shared" si="71"/>
        <v>-4762.4753000000055</v>
      </c>
      <c r="G677">
        <f t="shared" si="72"/>
        <v>-4.2569779425901517E-2</v>
      </c>
      <c r="H677">
        <f t="shared" si="73"/>
        <v>-1.5686677536231883</v>
      </c>
      <c r="I677">
        <f t="shared" si="74"/>
        <v>38.41799548748353</v>
      </c>
      <c r="J677" t="b">
        <f t="shared" si="75"/>
        <v>0</v>
      </c>
      <c r="K677">
        <f t="shared" si="76"/>
        <v>3036</v>
      </c>
    </row>
    <row r="678" spans="1:11" x14ac:dyDescent="0.3">
      <c r="A678" s="1">
        <v>42166</v>
      </c>
      <c r="B678">
        <v>214540.33309999999</v>
      </c>
      <c r="C678">
        <v>223738.4327</v>
      </c>
      <c r="D678">
        <v>5822</v>
      </c>
      <c r="E678">
        <f t="shared" si="70"/>
        <v>36.849936980419095</v>
      </c>
      <c r="F678">
        <f t="shared" si="71"/>
        <v>-9198.0996000000159</v>
      </c>
      <c r="G678">
        <f t="shared" si="72"/>
        <v>-4.2873521575603521E-2</v>
      </c>
      <c r="H678">
        <f t="shared" si="73"/>
        <v>-1.5798865681896288</v>
      </c>
      <c r="I678">
        <f t="shared" si="74"/>
        <v>38.429823548608724</v>
      </c>
      <c r="J678" t="b">
        <f t="shared" si="75"/>
        <v>0</v>
      </c>
      <c r="K678">
        <f t="shared" si="76"/>
        <v>5822</v>
      </c>
    </row>
    <row r="679" spans="1:11" x14ac:dyDescent="0.3">
      <c r="A679" s="1">
        <v>42196</v>
      </c>
      <c r="B679">
        <v>280264.24449999997</v>
      </c>
      <c r="C679">
        <v>306935.16039999999</v>
      </c>
      <c r="D679">
        <v>7987</v>
      </c>
      <c r="E679">
        <f t="shared" si="70"/>
        <v>35.09005189683235</v>
      </c>
      <c r="F679">
        <f t="shared" si="71"/>
        <v>-26670.915900000022</v>
      </c>
      <c r="G679">
        <f t="shared" si="72"/>
        <v>-9.5163462423049197E-2</v>
      </c>
      <c r="H679">
        <f t="shared" si="73"/>
        <v>-3.3392908351070503</v>
      </c>
      <c r="I679">
        <f t="shared" si="74"/>
        <v>38.4293427319394</v>
      </c>
      <c r="J679" t="b">
        <f t="shared" si="75"/>
        <v>0</v>
      </c>
      <c r="K679">
        <f t="shared" si="76"/>
        <v>7987</v>
      </c>
    </row>
    <row r="680" spans="1:11" x14ac:dyDescent="0.3">
      <c r="A680" s="1">
        <v>42227</v>
      </c>
      <c r="B680">
        <v>134136.72870000001</v>
      </c>
      <c r="C680">
        <v>140236.3033</v>
      </c>
      <c r="D680">
        <v>3640</v>
      </c>
      <c r="E680">
        <f t="shared" si="70"/>
        <v>36.850749642857146</v>
      </c>
      <c r="F680">
        <f t="shared" si="71"/>
        <v>-6099.5745999999926</v>
      </c>
      <c r="G680">
        <f t="shared" si="72"/>
        <v>-4.5472814635593481E-2</v>
      </c>
      <c r="H680">
        <f t="shared" si="73"/>
        <v>-1.6757073076923064</v>
      </c>
      <c r="I680">
        <f t="shared" si="74"/>
        <v>38.526456950549452</v>
      </c>
      <c r="J680" t="b">
        <f t="shared" si="75"/>
        <v>0</v>
      </c>
      <c r="K680">
        <f t="shared" si="76"/>
        <v>3640</v>
      </c>
    </row>
    <row r="681" spans="1:11" x14ac:dyDescent="0.3">
      <c r="A681" s="1">
        <v>42258</v>
      </c>
      <c r="B681">
        <v>94243.465530000001</v>
      </c>
      <c r="C681">
        <v>89949.304170000003</v>
      </c>
      <c r="D681">
        <v>2338</v>
      </c>
      <c r="E681">
        <f t="shared" si="70"/>
        <v>40.309437780153978</v>
      </c>
      <c r="F681">
        <f t="shared" si="71"/>
        <v>4294.1613599999982</v>
      </c>
      <c r="G681">
        <f t="shared" si="72"/>
        <v>4.5564552787302391E-2</v>
      </c>
      <c r="H681">
        <f t="shared" si="73"/>
        <v>1.836681505560307</v>
      </c>
      <c r="I681">
        <f t="shared" si="74"/>
        <v>38.472756274593671</v>
      </c>
      <c r="J681" t="b">
        <f t="shared" si="75"/>
        <v>1</v>
      </c>
      <c r="K681">
        <f t="shared" si="76"/>
        <v>2338</v>
      </c>
    </row>
    <row r="682" spans="1:11" x14ac:dyDescent="0.3">
      <c r="A682" s="1">
        <v>42288</v>
      </c>
      <c r="B682">
        <v>131436.1979</v>
      </c>
      <c r="C682">
        <v>143823.38639999999</v>
      </c>
      <c r="D682">
        <v>3744</v>
      </c>
      <c r="E682">
        <f t="shared" si="70"/>
        <v>35.105822088675211</v>
      </c>
      <c r="F682">
        <f t="shared" si="71"/>
        <v>-12387.188499999989</v>
      </c>
      <c r="G682">
        <f t="shared" si="72"/>
        <v>-9.4244878487922151E-2</v>
      </c>
      <c r="H682">
        <f t="shared" si="73"/>
        <v>-3.3085439369658118</v>
      </c>
      <c r="I682">
        <f t="shared" si="74"/>
        <v>38.414366025641023</v>
      </c>
      <c r="J682" t="b">
        <f t="shared" si="75"/>
        <v>0</v>
      </c>
      <c r="K682">
        <f t="shared" si="76"/>
        <v>3744</v>
      </c>
    </row>
    <row r="683" spans="1:11" x14ac:dyDescent="0.3">
      <c r="A683" s="1">
        <v>42319</v>
      </c>
      <c r="B683">
        <v>147893.94149999999</v>
      </c>
      <c r="C683">
        <v>161665.60060000001</v>
      </c>
      <c r="D683">
        <v>4216</v>
      </c>
      <c r="E683">
        <f t="shared" si="70"/>
        <v>35.079208135673618</v>
      </c>
      <c r="F683">
        <f t="shared" si="71"/>
        <v>-13771.659100000019</v>
      </c>
      <c r="G683">
        <f t="shared" si="72"/>
        <v>-9.3118480448369276E-2</v>
      </c>
      <c r="H683">
        <f t="shared" si="73"/>
        <v>-3.2665225569260059</v>
      </c>
      <c r="I683">
        <f t="shared" si="74"/>
        <v>38.345730692599624</v>
      </c>
      <c r="J683" t="b">
        <f t="shared" si="75"/>
        <v>0</v>
      </c>
      <c r="K683">
        <f t="shared" si="76"/>
        <v>4216</v>
      </c>
    </row>
    <row r="684" spans="1:11" x14ac:dyDescent="0.3">
      <c r="A684" s="1">
        <v>42349</v>
      </c>
      <c r="B684">
        <v>140238.39050000001</v>
      </c>
      <c r="C684">
        <v>153481.4534</v>
      </c>
      <c r="D684">
        <v>4000</v>
      </c>
      <c r="E684">
        <f t="shared" si="70"/>
        <v>35.059597625000002</v>
      </c>
      <c r="F684">
        <f t="shared" si="71"/>
        <v>-13243.06289999999</v>
      </c>
      <c r="G684">
        <f t="shared" si="72"/>
        <v>-9.4432507766124066E-2</v>
      </c>
      <c r="H684">
        <f t="shared" si="73"/>
        <v>-3.310765724999996</v>
      </c>
      <c r="I684">
        <f t="shared" si="74"/>
        <v>38.370363349999998</v>
      </c>
      <c r="J684" t="b">
        <f t="shared" si="75"/>
        <v>0</v>
      </c>
      <c r="K684">
        <f t="shared" si="76"/>
        <v>4000</v>
      </c>
    </row>
    <row r="685" spans="1:11" x14ac:dyDescent="0.3">
      <c r="A685" t="s">
        <v>411</v>
      </c>
      <c r="B685">
        <v>358183.77399999998</v>
      </c>
      <c r="C685">
        <v>391310.32069999998</v>
      </c>
      <c r="D685">
        <v>10204</v>
      </c>
      <c r="E685">
        <f t="shared" si="70"/>
        <v>35.10229067032536</v>
      </c>
      <c r="F685">
        <f t="shared" si="71"/>
        <v>-33126.546700000006</v>
      </c>
      <c r="G685">
        <f t="shared" si="72"/>
        <v>-9.2484777660531342E-2</v>
      </c>
      <c r="H685">
        <f t="shared" si="73"/>
        <v>-3.2464275480203852</v>
      </c>
      <c r="I685">
        <f t="shared" si="74"/>
        <v>38.348718218345745</v>
      </c>
      <c r="J685" t="b">
        <f t="shared" si="75"/>
        <v>0</v>
      </c>
      <c r="K685">
        <f t="shared" si="76"/>
        <v>10204</v>
      </c>
    </row>
    <row r="686" spans="1:11" x14ac:dyDescent="0.3">
      <c r="A686" t="s">
        <v>412</v>
      </c>
      <c r="B686">
        <v>377937.13870000001</v>
      </c>
      <c r="C686">
        <v>413010.22899999999</v>
      </c>
      <c r="D686">
        <v>10769</v>
      </c>
      <c r="E686">
        <f t="shared" si="70"/>
        <v>35.094914913176709</v>
      </c>
      <c r="F686">
        <f t="shared" si="71"/>
        <v>-35073.090299999982</v>
      </c>
      <c r="G686">
        <f t="shared" si="72"/>
        <v>-9.2801386020547716E-2</v>
      </c>
      <c r="H686">
        <f t="shared" si="73"/>
        <v>-3.2568567462159947</v>
      </c>
      <c r="I686">
        <f t="shared" si="74"/>
        <v>38.351771659392703</v>
      </c>
      <c r="J686" t="b">
        <f t="shared" si="75"/>
        <v>0</v>
      </c>
      <c r="K686">
        <f t="shared" si="76"/>
        <v>10769</v>
      </c>
    </row>
    <row r="687" spans="1:11" x14ac:dyDescent="0.3">
      <c r="A687" t="s">
        <v>413</v>
      </c>
      <c r="B687">
        <v>168729.96239999999</v>
      </c>
      <c r="C687">
        <v>184673.48850000001</v>
      </c>
      <c r="D687">
        <v>4803</v>
      </c>
      <c r="E687">
        <f t="shared" si="70"/>
        <v>35.130119175515304</v>
      </c>
      <c r="F687">
        <f t="shared" si="71"/>
        <v>-15943.526100000017</v>
      </c>
      <c r="G687">
        <f t="shared" si="72"/>
        <v>-9.449137469848698E-2</v>
      </c>
      <c r="H687">
        <f t="shared" si="73"/>
        <v>-3.3194932542161126</v>
      </c>
      <c r="I687">
        <f t="shared" si="74"/>
        <v>38.449612429731417</v>
      </c>
      <c r="J687" t="b">
        <f t="shared" si="75"/>
        <v>0</v>
      </c>
      <c r="K687">
        <f t="shared" si="76"/>
        <v>4803</v>
      </c>
    </row>
    <row r="688" spans="1:11" x14ac:dyDescent="0.3">
      <c r="A688" t="s">
        <v>414</v>
      </c>
      <c r="B688">
        <v>177192.5698</v>
      </c>
      <c r="C688">
        <v>193615.30369999999</v>
      </c>
      <c r="D688">
        <v>5042</v>
      </c>
      <c r="E688">
        <f t="shared" si="70"/>
        <v>35.143310154700515</v>
      </c>
      <c r="F688">
        <f t="shared" si="71"/>
        <v>-16422.733899999992</v>
      </c>
      <c r="G688">
        <f t="shared" si="72"/>
        <v>-9.2682971518143156E-2</v>
      </c>
      <c r="H688">
        <f t="shared" si="73"/>
        <v>-3.257186414121378</v>
      </c>
      <c r="I688">
        <f t="shared" si="74"/>
        <v>38.400496568821893</v>
      </c>
      <c r="J688" t="b">
        <f t="shared" si="75"/>
        <v>0</v>
      </c>
      <c r="K688">
        <f t="shared" si="76"/>
        <v>5042</v>
      </c>
    </row>
    <row r="689" spans="1:11" x14ac:dyDescent="0.3">
      <c r="A689" t="s">
        <v>415</v>
      </c>
      <c r="B689">
        <v>152368.74909999999</v>
      </c>
      <c r="C689">
        <v>166625.36499999999</v>
      </c>
      <c r="D689">
        <v>4342</v>
      </c>
      <c r="E689">
        <f t="shared" si="70"/>
        <v>35.091835352372179</v>
      </c>
      <c r="F689">
        <f t="shared" si="71"/>
        <v>-14256.615900000004</v>
      </c>
      <c r="G689">
        <f t="shared" si="72"/>
        <v>-9.3566535029065256E-2</v>
      </c>
      <c r="H689">
        <f t="shared" si="73"/>
        <v>-3.2834214417319174</v>
      </c>
      <c r="I689">
        <f t="shared" si="74"/>
        <v>38.375256794104097</v>
      </c>
      <c r="J689" t="b">
        <f t="shared" si="75"/>
        <v>0</v>
      </c>
      <c r="K689">
        <f t="shared" si="76"/>
        <v>4342</v>
      </c>
    </row>
    <row r="690" spans="1:11" x14ac:dyDescent="0.3">
      <c r="A690" t="s">
        <v>416</v>
      </c>
      <c r="B690">
        <v>147471.80489999999</v>
      </c>
      <c r="C690">
        <v>161402.91870000001</v>
      </c>
      <c r="D690">
        <v>4202</v>
      </c>
      <c r="E690">
        <f t="shared" si="70"/>
        <v>35.095622298905283</v>
      </c>
      <c r="F690">
        <f t="shared" si="71"/>
        <v>-13931.113800000021</v>
      </c>
      <c r="G690">
        <f t="shared" si="72"/>
        <v>-9.4466286687456297E-2</v>
      </c>
      <c r="H690">
        <f t="shared" si="73"/>
        <v>-3.3153531175630704</v>
      </c>
      <c r="I690">
        <f t="shared" si="74"/>
        <v>38.410975416468354</v>
      </c>
      <c r="J690" t="b">
        <f t="shared" si="75"/>
        <v>0</v>
      </c>
      <c r="K690">
        <f t="shared" si="76"/>
        <v>4202</v>
      </c>
    </row>
    <row r="691" spans="1:11" x14ac:dyDescent="0.3">
      <c r="A691" t="s">
        <v>417</v>
      </c>
      <c r="B691">
        <v>145697.152</v>
      </c>
      <c r="C691">
        <v>159317.60939999999</v>
      </c>
      <c r="D691">
        <v>4151</v>
      </c>
      <c r="E691">
        <f t="shared" si="70"/>
        <v>35.099289809684414</v>
      </c>
      <c r="F691">
        <f t="shared" si="71"/>
        <v>-13620.457399999985</v>
      </c>
      <c r="G691">
        <f t="shared" si="72"/>
        <v>-9.3484719591498844E-2</v>
      </c>
      <c r="H691">
        <f t="shared" si="73"/>
        <v>-3.2812472657191023</v>
      </c>
      <c r="I691">
        <f t="shared" si="74"/>
        <v>38.380537075403517</v>
      </c>
      <c r="J691" t="b">
        <f t="shared" si="75"/>
        <v>0</v>
      </c>
      <c r="K691">
        <f t="shared" si="76"/>
        <v>4151</v>
      </c>
    </row>
    <row r="692" spans="1:11" x14ac:dyDescent="0.3">
      <c r="A692" t="s">
        <v>418</v>
      </c>
      <c r="B692">
        <v>301033.9865</v>
      </c>
      <c r="C692">
        <v>328965.1433</v>
      </c>
      <c r="D692">
        <v>8567</v>
      </c>
      <c r="E692">
        <f t="shared" si="70"/>
        <v>35.138786798179062</v>
      </c>
      <c r="F692">
        <f t="shared" si="71"/>
        <v>-27931.156799999997</v>
      </c>
      <c r="G692">
        <f t="shared" si="72"/>
        <v>-9.2784064433203112E-2</v>
      </c>
      <c r="H692">
        <f t="shared" si="73"/>
        <v>-3.2603194583868316</v>
      </c>
      <c r="I692">
        <f t="shared" si="74"/>
        <v>38.399106256565894</v>
      </c>
      <c r="J692" t="b">
        <f t="shared" si="75"/>
        <v>0</v>
      </c>
      <c r="K692">
        <f t="shared" si="76"/>
        <v>8567</v>
      </c>
    </row>
    <row r="693" spans="1:11" x14ac:dyDescent="0.3">
      <c r="A693" t="s">
        <v>419</v>
      </c>
      <c r="B693">
        <v>309518.07209999999</v>
      </c>
      <c r="C693">
        <v>338720.02360000001</v>
      </c>
      <c r="D693">
        <v>8811</v>
      </c>
      <c r="E693">
        <f t="shared" si="70"/>
        <v>35.128597446373853</v>
      </c>
      <c r="F693">
        <f t="shared" si="71"/>
        <v>-29201.951500000025</v>
      </c>
      <c r="G693">
        <f t="shared" si="72"/>
        <v>-9.4346515219199789E-2</v>
      </c>
      <c r="H693">
        <f t="shared" si="73"/>
        <v>-3.314260753603449</v>
      </c>
      <c r="I693">
        <f t="shared" si="74"/>
        <v>38.442858199977302</v>
      </c>
      <c r="J693" t="b">
        <f t="shared" si="75"/>
        <v>0</v>
      </c>
      <c r="K693">
        <f t="shared" si="76"/>
        <v>8811</v>
      </c>
    </row>
    <row r="694" spans="1:11" x14ac:dyDescent="0.3">
      <c r="A694" t="s">
        <v>420</v>
      </c>
      <c r="B694">
        <v>152504.6317</v>
      </c>
      <c r="C694">
        <v>167600.65090000001</v>
      </c>
      <c r="D694">
        <v>4345</v>
      </c>
      <c r="E694">
        <f t="shared" si="70"/>
        <v>35.098879562715766</v>
      </c>
      <c r="F694">
        <f t="shared" si="71"/>
        <v>-15096.01920000001</v>
      </c>
      <c r="G694">
        <f t="shared" si="72"/>
        <v>-9.8987283413766711E-2</v>
      </c>
      <c r="H694">
        <f t="shared" si="73"/>
        <v>-3.4743427387802086</v>
      </c>
      <c r="I694">
        <f t="shared" si="74"/>
        <v>38.573222301495974</v>
      </c>
      <c r="J694" t="b">
        <f t="shared" si="75"/>
        <v>0</v>
      </c>
      <c r="K694">
        <f t="shared" si="76"/>
        <v>4345</v>
      </c>
    </row>
    <row r="695" spans="1:11" x14ac:dyDescent="0.3">
      <c r="A695" t="s">
        <v>421</v>
      </c>
      <c r="B695">
        <v>79711.583410000007</v>
      </c>
      <c r="C695">
        <v>74375.788709999993</v>
      </c>
      <c r="D695">
        <v>1937</v>
      </c>
      <c r="E695">
        <f t="shared" si="70"/>
        <v>41.152082297367066</v>
      </c>
      <c r="F695">
        <f t="shared" si="71"/>
        <v>5335.7947000000131</v>
      </c>
      <c r="G695">
        <f t="shared" si="72"/>
        <v>6.6938761867959898E-2</v>
      </c>
      <c r="H695">
        <f t="shared" si="73"/>
        <v>2.7546694372741456</v>
      </c>
      <c r="I695">
        <f t="shared" si="74"/>
        <v>38.397412860092921</v>
      </c>
      <c r="J695" t="b">
        <f t="shared" si="75"/>
        <v>1</v>
      </c>
      <c r="K695">
        <f t="shared" si="76"/>
        <v>1937</v>
      </c>
    </row>
    <row r="696" spans="1:11" x14ac:dyDescent="0.3">
      <c r="A696" t="s">
        <v>422</v>
      </c>
      <c r="B696">
        <v>111021.37910000001</v>
      </c>
      <c r="C696">
        <v>121456.524</v>
      </c>
      <c r="D696">
        <v>3160</v>
      </c>
      <c r="E696">
        <f t="shared" si="70"/>
        <v>35.133347816455696</v>
      </c>
      <c r="F696">
        <f t="shared" si="71"/>
        <v>-10435.144899999999</v>
      </c>
      <c r="G696">
        <f t="shared" si="72"/>
        <v>-9.3992211091169911E-2</v>
      </c>
      <c r="H696">
        <f t="shared" si="73"/>
        <v>-3.3022610443037976</v>
      </c>
      <c r="I696">
        <f t="shared" si="74"/>
        <v>38.435608860759494</v>
      </c>
      <c r="J696" t="b">
        <f t="shared" si="75"/>
        <v>0</v>
      </c>
      <c r="K696">
        <f t="shared" si="76"/>
        <v>3160</v>
      </c>
    </row>
    <row r="697" spans="1:11" x14ac:dyDescent="0.3">
      <c r="A697" t="s">
        <v>423</v>
      </c>
      <c r="B697">
        <v>243161.2592</v>
      </c>
      <c r="C697">
        <v>266054.36989999999</v>
      </c>
      <c r="D697">
        <v>6924</v>
      </c>
      <c r="E697">
        <f t="shared" si="70"/>
        <v>35.118610514153666</v>
      </c>
      <c r="F697">
        <f t="shared" si="71"/>
        <v>-22893.11069999999</v>
      </c>
      <c r="G697">
        <f t="shared" si="72"/>
        <v>-9.4147853878197019E-2</v>
      </c>
      <c r="H697">
        <f t="shared" si="73"/>
        <v>-3.3063418110918548</v>
      </c>
      <c r="I697">
        <f t="shared" si="74"/>
        <v>38.424952325245521</v>
      </c>
      <c r="J697" t="b">
        <f t="shared" si="75"/>
        <v>0</v>
      </c>
      <c r="K697">
        <f t="shared" si="76"/>
        <v>6924</v>
      </c>
    </row>
    <row r="698" spans="1:11" x14ac:dyDescent="0.3">
      <c r="A698" t="s">
        <v>424</v>
      </c>
      <c r="B698">
        <v>311443.18119999999</v>
      </c>
      <c r="C698">
        <v>355343.87180000002</v>
      </c>
      <c r="D698">
        <v>9273</v>
      </c>
      <c r="E698">
        <f t="shared" si="70"/>
        <v>33.586021913080984</v>
      </c>
      <c r="F698">
        <f t="shared" si="71"/>
        <v>-43900.690600000031</v>
      </c>
      <c r="G698">
        <f t="shared" si="72"/>
        <v>-0.14095890759543794</v>
      </c>
      <c r="H698">
        <f t="shared" si="73"/>
        <v>-4.7342489593443418</v>
      </c>
      <c r="I698">
        <f t="shared" si="74"/>
        <v>38.320270872425326</v>
      </c>
      <c r="J698" t="b">
        <f t="shared" si="75"/>
        <v>0</v>
      </c>
      <c r="K698">
        <f t="shared" si="76"/>
        <v>9273</v>
      </c>
    </row>
    <row r="699" spans="1:11" x14ac:dyDescent="0.3">
      <c r="A699" t="s">
        <v>425</v>
      </c>
      <c r="B699">
        <v>375876.0134</v>
      </c>
      <c r="C699">
        <v>431325.68670000002</v>
      </c>
      <c r="D699">
        <v>11257</v>
      </c>
      <c r="E699">
        <f t="shared" si="70"/>
        <v>33.390424926712271</v>
      </c>
      <c r="F699">
        <f t="shared" si="71"/>
        <v>-55449.673300000024</v>
      </c>
      <c r="G699">
        <f t="shared" si="72"/>
        <v>-0.14752118071708809</v>
      </c>
      <c r="H699">
        <f t="shared" si="73"/>
        <v>-4.9257949098338827</v>
      </c>
      <c r="I699">
        <f t="shared" si="74"/>
        <v>38.316219836546153</v>
      </c>
      <c r="J699" t="b">
        <f t="shared" si="75"/>
        <v>0</v>
      </c>
      <c r="K699">
        <f t="shared" si="76"/>
        <v>11257</v>
      </c>
    </row>
    <row r="700" spans="1:11" x14ac:dyDescent="0.3">
      <c r="A700" t="s">
        <v>426</v>
      </c>
      <c r="B700">
        <v>434639.65899999999</v>
      </c>
      <c r="C700">
        <v>498895.61859999999</v>
      </c>
      <c r="D700">
        <v>13019</v>
      </c>
      <c r="E700">
        <f t="shared" si="70"/>
        <v>33.385026422920347</v>
      </c>
      <c r="F700">
        <f t="shared" si="71"/>
        <v>-64255.959600000002</v>
      </c>
      <c r="G700">
        <f t="shared" si="72"/>
        <v>-0.14783731366768812</v>
      </c>
      <c r="H700">
        <f t="shared" si="73"/>
        <v>-4.935552623089329</v>
      </c>
      <c r="I700">
        <f t="shared" si="74"/>
        <v>38.320579046009676</v>
      </c>
      <c r="J700" t="b">
        <f t="shared" si="75"/>
        <v>0</v>
      </c>
      <c r="K700">
        <f t="shared" si="76"/>
        <v>13019</v>
      </c>
    </row>
    <row r="701" spans="1:11" x14ac:dyDescent="0.3">
      <c r="A701" t="s">
        <v>427</v>
      </c>
      <c r="B701">
        <v>238637.81640000001</v>
      </c>
      <c r="C701">
        <v>274093.57799999998</v>
      </c>
      <c r="D701">
        <v>7139</v>
      </c>
      <c r="E701">
        <f t="shared" si="70"/>
        <v>33.427345062333664</v>
      </c>
      <c r="F701">
        <f t="shared" si="71"/>
        <v>-35455.761599999969</v>
      </c>
      <c r="G701">
        <f t="shared" si="72"/>
        <v>-0.14857562030558358</v>
      </c>
      <c r="H701">
        <f t="shared" si="73"/>
        <v>-4.966488527805005</v>
      </c>
      <c r="I701">
        <f t="shared" si="74"/>
        <v>38.393833590138669</v>
      </c>
      <c r="J701" t="b">
        <f t="shared" si="75"/>
        <v>0</v>
      </c>
      <c r="K701">
        <f t="shared" si="76"/>
        <v>7139</v>
      </c>
    </row>
    <row r="702" spans="1:11" x14ac:dyDescent="0.3">
      <c r="A702" t="s">
        <v>428</v>
      </c>
      <c r="B702">
        <v>260653.66699999999</v>
      </c>
      <c r="C702">
        <v>283981.1507</v>
      </c>
      <c r="D702">
        <v>7423</v>
      </c>
      <c r="E702">
        <f t="shared" si="70"/>
        <v>35.114329381651622</v>
      </c>
      <c r="F702">
        <f t="shared" si="71"/>
        <v>-23327.483700000012</v>
      </c>
      <c r="G702">
        <f t="shared" si="72"/>
        <v>-8.9496088693047288E-2</v>
      </c>
      <c r="H702">
        <f t="shared" si="73"/>
        <v>-3.1425951367371709</v>
      </c>
      <c r="I702">
        <f t="shared" si="74"/>
        <v>38.256924518388793</v>
      </c>
      <c r="J702" t="b">
        <f t="shared" si="75"/>
        <v>0</v>
      </c>
      <c r="K702">
        <f t="shared" si="76"/>
        <v>7423</v>
      </c>
    </row>
    <row r="703" spans="1:11" x14ac:dyDescent="0.3">
      <c r="A703" s="1">
        <v>42016</v>
      </c>
      <c r="B703">
        <v>262394.78000000003</v>
      </c>
      <c r="C703">
        <v>285838.55680000002</v>
      </c>
      <c r="D703">
        <v>7474</v>
      </c>
      <c r="E703">
        <f t="shared" si="70"/>
        <v>35.107677281241642</v>
      </c>
      <c r="F703">
        <f t="shared" si="71"/>
        <v>-23443.776799999992</v>
      </c>
      <c r="G703">
        <f t="shared" si="72"/>
        <v>-8.9345438960332937E-2</v>
      </c>
      <c r="H703">
        <f t="shared" si="73"/>
        <v>-3.1367108375702415</v>
      </c>
      <c r="I703">
        <f t="shared" si="74"/>
        <v>38.244388118811884</v>
      </c>
      <c r="J703" t="b">
        <f t="shared" si="75"/>
        <v>0</v>
      </c>
      <c r="K703">
        <f t="shared" si="76"/>
        <v>7474</v>
      </c>
    </row>
    <row r="704" spans="1:11" x14ac:dyDescent="0.3">
      <c r="A704" s="1">
        <v>42047</v>
      </c>
      <c r="B704">
        <v>248437.7113</v>
      </c>
      <c r="C704">
        <v>269807.62040000001</v>
      </c>
      <c r="D704">
        <v>7056</v>
      </c>
      <c r="E704">
        <f t="shared" si="70"/>
        <v>35.209426204648523</v>
      </c>
      <c r="F704">
        <f t="shared" si="71"/>
        <v>-21369.909100000019</v>
      </c>
      <c r="G704">
        <f t="shared" si="72"/>
        <v>-8.6017171017144289E-2</v>
      </c>
      <c r="H704">
        <f t="shared" si="73"/>
        <v>-3.0286152352607729</v>
      </c>
      <c r="I704">
        <f t="shared" si="74"/>
        <v>38.238041439909296</v>
      </c>
      <c r="J704" t="b">
        <f t="shared" si="75"/>
        <v>0</v>
      </c>
      <c r="K704">
        <f t="shared" si="76"/>
        <v>7056</v>
      </c>
    </row>
    <row r="705" spans="1:11" x14ac:dyDescent="0.3">
      <c r="A705" s="1">
        <v>42075</v>
      </c>
      <c r="B705">
        <v>201048.83050000001</v>
      </c>
      <c r="C705">
        <v>219110.39319999999</v>
      </c>
      <c r="D705">
        <v>5732</v>
      </c>
      <c r="E705">
        <f t="shared" si="70"/>
        <v>35.074813415910675</v>
      </c>
      <c r="F705">
        <f t="shared" si="71"/>
        <v>-18061.56269999998</v>
      </c>
      <c r="G705">
        <f t="shared" si="72"/>
        <v>-8.9836696165213351E-2</v>
      </c>
      <c r="H705">
        <f t="shared" si="73"/>
        <v>-3.1510053558967215</v>
      </c>
      <c r="I705">
        <f t="shared" si="74"/>
        <v>38.225818771807397</v>
      </c>
      <c r="J705" t="b">
        <f t="shared" si="75"/>
        <v>0</v>
      </c>
      <c r="K705">
        <f t="shared" si="76"/>
        <v>5732</v>
      </c>
    </row>
    <row r="706" spans="1:11" x14ac:dyDescent="0.3">
      <c r="A706" s="1">
        <v>42106</v>
      </c>
      <c r="B706">
        <v>317690.76089999999</v>
      </c>
      <c r="C706">
        <v>345449.52990000002</v>
      </c>
      <c r="D706">
        <v>9038</v>
      </c>
      <c r="E706">
        <f t="shared" si="70"/>
        <v>35.150559957955302</v>
      </c>
      <c r="F706">
        <f t="shared" si="71"/>
        <v>-27758.769000000029</v>
      </c>
      <c r="G706">
        <f t="shared" si="72"/>
        <v>-8.7376695883005867E-2</v>
      </c>
      <c r="H706">
        <f t="shared" si="73"/>
        <v>-3.0713397875636232</v>
      </c>
      <c r="I706">
        <f t="shared" si="74"/>
        <v>38.221899745518925</v>
      </c>
      <c r="J706" t="b">
        <f t="shared" si="75"/>
        <v>0</v>
      </c>
      <c r="K706">
        <f t="shared" si="76"/>
        <v>9038</v>
      </c>
    </row>
    <row r="707" spans="1:11" x14ac:dyDescent="0.3">
      <c r="A707" s="1">
        <v>42136</v>
      </c>
      <c r="B707">
        <v>378527.8726</v>
      </c>
      <c r="C707">
        <v>410385.03700000001</v>
      </c>
      <c r="D707">
        <v>10737</v>
      </c>
      <c r="E707">
        <f t="shared" ref="E707:E770" si="77">B707/D707</f>
        <v>35.254528508894474</v>
      </c>
      <c r="F707">
        <f t="shared" ref="F707:F770" si="78">B707-C707</f>
        <v>-31857.164400000009</v>
      </c>
      <c r="G707">
        <f t="shared" ref="G707:H770" si="79">F707/B707</f>
        <v>-8.4160683283854981E-2</v>
      </c>
      <c r="H707">
        <f t="shared" ref="H707:H770" si="80">E707-I707</f>
        <v>-2.9670452081587086</v>
      </c>
      <c r="I707">
        <f t="shared" ref="I707:I770" si="81">C707/D707</f>
        <v>38.221573717053182</v>
      </c>
      <c r="J707" t="b">
        <f t="shared" ref="J707:J770" si="82">H707&gt;0</f>
        <v>0</v>
      </c>
      <c r="K707">
        <f t="shared" ref="K707:K770" si="83">D707</f>
        <v>10737</v>
      </c>
    </row>
    <row r="708" spans="1:11" x14ac:dyDescent="0.3">
      <c r="A708" s="1">
        <v>42167</v>
      </c>
      <c r="B708">
        <v>195425.39110000001</v>
      </c>
      <c r="C708">
        <v>210461.38620000001</v>
      </c>
      <c r="D708">
        <v>5505</v>
      </c>
      <c r="E708">
        <f t="shared" si="77"/>
        <v>35.499616911898279</v>
      </c>
      <c r="F708">
        <f t="shared" si="78"/>
        <v>-15035.9951</v>
      </c>
      <c r="G708">
        <f t="shared" si="79"/>
        <v>-7.6939823506895363E-2</v>
      </c>
      <c r="H708">
        <f t="shared" si="80"/>
        <v>-2.7313342597638481</v>
      </c>
      <c r="I708">
        <f t="shared" si="81"/>
        <v>38.230951171662127</v>
      </c>
      <c r="J708" t="b">
        <f t="shared" si="82"/>
        <v>0</v>
      </c>
      <c r="K708">
        <f t="shared" si="83"/>
        <v>5505</v>
      </c>
    </row>
    <row r="709" spans="1:11" x14ac:dyDescent="0.3">
      <c r="A709" s="1">
        <v>42197</v>
      </c>
      <c r="B709">
        <v>90441.603369999997</v>
      </c>
      <c r="C709">
        <v>83999.591249999998</v>
      </c>
      <c r="D709">
        <v>2198</v>
      </c>
      <c r="E709">
        <f t="shared" si="77"/>
        <v>41.147226282984533</v>
      </c>
      <c r="F709">
        <f t="shared" si="78"/>
        <v>6442.0121199999994</v>
      </c>
      <c r="G709">
        <f t="shared" si="79"/>
        <v>7.1228415684377974E-2</v>
      </c>
      <c r="H709">
        <f t="shared" si="80"/>
        <v>2.9308517379435912</v>
      </c>
      <c r="I709">
        <f t="shared" si="81"/>
        <v>38.216374545040942</v>
      </c>
      <c r="J709" t="b">
        <f t="shared" si="82"/>
        <v>1</v>
      </c>
      <c r="K709">
        <f t="shared" si="83"/>
        <v>2198</v>
      </c>
    </row>
    <row r="710" spans="1:11" x14ac:dyDescent="0.3">
      <c r="A710" s="1">
        <v>42228</v>
      </c>
      <c r="B710">
        <v>117649.0006</v>
      </c>
      <c r="C710">
        <v>121640.3798</v>
      </c>
      <c r="D710">
        <v>3190</v>
      </c>
      <c r="E710">
        <f t="shared" si="77"/>
        <v>36.880564451410656</v>
      </c>
      <c r="F710">
        <f t="shared" si="78"/>
        <v>-3991.3791999999958</v>
      </c>
      <c r="G710">
        <f t="shared" si="79"/>
        <v>-3.3926163245282984E-2</v>
      </c>
      <c r="H710">
        <f t="shared" si="80"/>
        <v>-1.2512160501567422</v>
      </c>
      <c r="I710">
        <f t="shared" si="81"/>
        <v>38.131780501567398</v>
      </c>
      <c r="J710" t="b">
        <f t="shared" si="82"/>
        <v>0</v>
      </c>
      <c r="K710">
        <f t="shared" si="83"/>
        <v>3190</v>
      </c>
    </row>
    <row r="711" spans="1:11" x14ac:dyDescent="0.3">
      <c r="A711" s="1">
        <v>42259</v>
      </c>
      <c r="B711">
        <v>141285.39550000001</v>
      </c>
      <c r="C711">
        <v>145443.0466</v>
      </c>
      <c r="D711">
        <v>3814</v>
      </c>
      <c r="E711">
        <f t="shared" si="77"/>
        <v>37.043889748295754</v>
      </c>
      <c r="F711">
        <f t="shared" si="78"/>
        <v>-4157.6510999999882</v>
      </c>
      <c r="G711">
        <f t="shared" si="79"/>
        <v>-2.9427323930306639E-2</v>
      </c>
      <c r="H711">
        <f t="shared" si="80"/>
        <v>-1.0901025432616649</v>
      </c>
      <c r="I711">
        <f t="shared" si="81"/>
        <v>38.133992291557419</v>
      </c>
      <c r="J711" t="b">
        <f t="shared" si="82"/>
        <v>0</v>
      </c>
      <c r="K711">
        <f t="shared" si="83"/>
        <v>3814</v>
      </c>
    </row>
    <row r="712" spans="1:11" x14ac:dyDescent="0.3">
      <c r="A712" s="1">
        <v>42289</v>
      </c>
      <c r="B712">
        <v>133183.6937</v>
      </c>
      <c r="C712">
        <v>137725.87609999999</v>
      </c>
      <c r="D712">
        <v>3610</v>
      </c>
      <c r="E712">
        <f t="shared" si="77"/>
        <v>36.892989944598341</v>
      </c>
      <c r="F712">
        <f t="shared" si="78"/>
        <v>-4542.1823999999906</v>
      </c>
      <c r="G712">
        <f t="shared" si="79"/>
        <v>-3.4104643547665701E-2</v>
      </c>
      <c r="H712">
        <f t="shared" si="80"/>
        <v>-1.2582222714681421</v>
      </c>
      <c r="I712">
        <f t="shared" si="81"/>
        <v>38.151212216066483</v>
      </c>
      <c r="J712" t="b">
        <f t="shared" si="82"/>
        <v>0</v>
      </c>
      <c r="K712">
        <f t="shared" si="83"/>
        <v>3610</v>
      </c>
    </row>
    <row r="713" spans="1:11" x14ac:dyDescent="0.3">
      <c r="A713" s="1">
        <v>42320</v>
      </c>
      <c r="B713">
        <v>229672.25630000001</v>
      </c>
      <c r="C713">
        <v>237672.01639999999</v>
      </c>
      <c r="D713">
        <v>6227</v>
      </c>
      <c r="E713">
        <f t="shared" si="77"/>
        <v>36.883291520796533</v>
      </c>
      <c r="F713">
        <f t="shared" si="78"/>
        <v>-7999.760099999985</v>
      </c>
      <c r="G713">
        <f t="shared" si="79"/>
        <v>-3.4831199156900451E-2</v>
      </c>
      <c r="H713">
        <f t="shared" si="80"/>
        <v>-1.2846892725228827</v>
      </c>
      <c r="I713">
        <f t="shared" si="81"/>
        <v>38.167980793319416</v>
      </c>
      <c r="J713" t="b">
        <f t="shared" si="82"/>
        <v>0</v>
      </c>
      <c r="K713">
        <f t="shared" si="83"/>
        <v>6227</v>
      </c>
    </row>
    <row r="714" spans="1:11" x14ac:dyDescent="0.3">
      <c r="A714" s="1">
        <v>42350</v>
      </c>
      <c r="B714">
        <v>333488.79790000001</v>
      </c>
      <c r="C714">
        <v>359621.07490000001</v>
      </c>
      <c r="D714">
        <v>9422</v>
      </c>
      <c r="E714">
        <f t="shared" si="77"/>
        <v>35.394693048185097</v>
      </c>
      <c r="F714">
        <f t="shared" si="78"/>
        <v>-26132.277000000002</v>
      </c>
      <c r="G714">
        <f t="shared" si="79"/>
        <v>-7.8360284257092294E-2</v>
      </c>
      <c r="H714">
        <f t="shared" si="80"/>
        <v>-2.7735382084483149</v>
      </c>
      <c r="I714">
        <f t="shared" si="81"/>
        <v>38.168231256633412</v>
      </c>
      <c r="J714" t="b">
        <f t="shared" si="82"/>
        <v>0</v>
      </c>
      <c r="K714">
        <f t="shared" si="83"/>
        <v>9422</v>
      </c>
    </row>
    <row r="715" spans="1:11" x14ac:dyDescent="0.3">
      <c r="A715" t="s">
        <v>429</v>
      </c>
      <c r="B715">
        <v>185422.88560000001</v>
      </c>
      <c r="C715">
        <v>191390.4013</v>
      </c>
      <c r="D715">
        <v>5014</v>
      </c>
      <c r="E715">
        <f t="shared" si="77"/>
        <v>36.981030235341045</v>
      </c>
      <c r="F715">
        <f t="shared" si="78"/>
        <v>-5967.515699999989</v>
      </c>
      <c r="G715">
        <f t="shared" si="79"/>
        <v>-3.2183274899913371E-2</v>
      </c>
      <c r="H715">
        <f t="shared" si="80"/>
        <v>-1.190170662145988</v>
      </c>
      <c r="I715">
        <f t="shared" si="81"/>
        <v>38.171200897487033</v>
      </c>
      <c r="J715" t="b">
        <f t="shared" si="82"/>
        <v>0</v>
      </c>
      <c r="K715">
        <f t="shared" si="83"/>
        <v>5014</v>
      </c>
    </row>
    <row r="716" spans="1:11" x14ac:dyDescent="0.3">
      <c r="A716" t="s">
        <v>430</v>
      </c>
      <c r="B716">
        <v>173833.13320000001</v>
      </c>
      <c r="C716">
        <v>179871.0533</v>
      </c>
      <c r="D716">
        <v>4715</v>
      </c>
      <c r="E716">
        <f t="shared" si="77"/>
        <v>36.868108844114531</v>
      </c>
      <c r="F716">
        <f t="shared" si="78"/>
        <v>-6037.9200999999885</v>
      </c>
      <c r="G716">
        <f t="shared" si="79"/>
        <v>-3.4734000295865278E-2</v>
      </c>
      <c r="H716">
        <f t="shared" si="80"/>
        <v>-1.2805769034994654</v>
      </c>
      <c r="I716">
        <f t="shared" si="81"/>
        <v>38.148685747613996</v>
      </c>
      <c r="J716" t="b">
        <f t="shared" si="82"/>
        <v>0</v>
      </c>
      <c r="K716">
        <f t="shared" si="83"/>
        <v>4715</v>
      </c>
    </row>
    <row r="717" spans="1:11" x14ac:dyDescent="0.3">
      <c r="A717" t="s">
        <v>431</v>
      </c>
      <c r="B717">
        <v>220271.72140000001</v>
      </c>
      <c r="C717">
        <v>237123.34330000001</v>
      </c>
      <c r="D717">
        <v>6212</v>
      </c>
      <c r="E717">
        <f t="shared" si="77"/>
        <v>35.459066548615581</v>
      </c>
      <c r="F717">
        <f t="shared" si="78"/>
        <v>-16851.621899999998</v>
      </c>
      <c r="G717">
        <f t="shared" si="79"/>
        <v>-7.6503791739106083E-2</v>
      </c>
      <c r="H717">
        <f t="shared" si="80"/>
        <v>-2.7127530424983917</v>
      </c>
      <c r="I717">
        <f t="shared" si="81"/>
        <v>38.171819591113973</v>
      </c>
      <c r="J717" t="b">
        <f t="shared" si="82"/>
        <v>0</v>
      </c>
      <c r="K717">
        <f t="shared" si="83"/>
        <v>6212</v>
      </c>
    </row>
    <row r="718" spans="1:11" x14ac:dyDescent="0.3">
      <c r="A718" t="s">
        <v>432</v>
      </c>
      <c r="B718">
        <v>234468.07120000001</v>
      </c>
      <c r="C718">
        <v>251493.90890000001</v>
      </c>
      <c r="D718">
        <v>6585</v>
      </c>
      <c r="E718">
        <f t="shared" si="77"/>
        <v>35.606388944570995</v>
      </c>
      <c r="F718">
        <f t="shared" si="78"/>
        <v>-17025.837700000004</v>
      </c>
      <c r="G718">
        <f t="shared" si="79"/>
        <v>-7.2614738599001208E-2</v>
      </c>
      <c r="H718">
        <f t="shared" si="80"/>
        <v>-2.5855486256643871</v>
      </c>
      <c r="I718">
        <f t="shared" si="81"/>
        <v>38.191937570235382</v>
      </c>
      <c r="J718" t="b">
        <f t="shared" si="82"/>
        <v>0</v>
      </c>
      <c r="K718">
        <f t="shared" si="83"/>
        <v>6585</v>
      </c>
    </row>
    <row r="719" spans="1:11" x14ac:dyDescent="0.3">
      <c r="A719" t="s">
        <v>433</v>
      </c>
      <c r="B719">
        <v>213778.13810000001</v>
      </c>
      <c r="C719">
        <v>230994.35519999999</v>
      </c>
      <c r="D719">
        <v>6051</v>
      </c>
      <c r="E719">
        <f t="shared" si="77"/>
        <v>35.329389869443069</v>
      </c>
      <c r="F719">
        <f t="shared" si="78"/>
        <v>-17216.21709999998</v>
      </c>
      <c r="G719">
        <f t="shared" si="79"/>
        <v>-8.0533104334301331E-2</v>
      </c>
      <c r="H719">
        <f t="shared" si="80"/>
        <v>-2.8451854404230659</v>
      </c>
      <c r="I719">
        <f t="shared" si="81"/>
        <v>38.174575309866135</v>
      </c>
      <c r="J719" t="b">
        <f t="shared" si="82"/>
        <v>0</v>
      </c>
      <c r="K719">
        <f t="shared" si="83"/>
        <v>6051</v>
      </c>
    </row>
    <row r="720" spans="1:11" x14ac:dyDescent="0.3">
      <c r="A720" t="s">
        <v>434</v>
      </c>
      <c r="B720">
        <v>273563.0148</v>
      </c>
      <c r="C720">
        <v>295854.55229999998</v>
      </c>
      <c r="D720">
        <v>7750</v>
      </c>
      <c r="E720">
        <f t="shared" si="77"/>
        <v>35.298453522580644</v>
      </c>
      <c r="F720">
        <f t="shared" si="78"/>
        <v>-22291.537499999977</v>
      </c>
      <c r="G720">
        <f t="shared" si="79"/>
        <v>-8.1485933017287307E-2</v>
      </c>
      <c r="H720">
        <f t="shared" si="80"/>
        <v>-2.8763274193548369</v>
      </c>
      <c r="I720">
        <f t="shared" si="81"/>
        <v>38.174780941935481</v>
      </c>
      <c r="J720" t="b">
        <f t="shared" si="82"/>
        <v>0</v>
      </c>
      <c r="K720">
        <f t="shared" si="83"/>
        <v>7750</v>
      </c>
    </row>
    <row r="721" spans="1:11" x14ac:dyDescent="0.3">
      <c r="A721" t="s">
        <v>435</v>
      </c>
      <c r="B721">
        <v>337506.78840000002</v>
      </c>
      <c r="C721">
        <v>362223.16090000002</v>
      </c>
      <c r="D721">
        <v>9490</v>
      </c>
      <c r="E721">
        <f t="shared" si="77"/>
        <v>35.564466638566913</v>
      </c>
      <c r="F721">
        <f t="shared" si="78"/>
        <v>-24716.372499999998</v>
      </c>
      <c r="G721">
        <f t="shared" si="79"/>
        <v>-7.3232223319630266E-2</v>
      </c>
      <c r="H721">
        <f t="shared" si="80"/>
        <v>-2.6044649631190779</v>
      </c>
      <c r="I721">
        <f t="shared" si="81"/>
        <v>38.168931601685991</v>
      </c>
      <c r="J721" t="b">
        <f t="shared" si="82"/>
        <v>0</v>
      </c>
      <c r="K721">
        <f t="shared" si="83"/>
        <v>9490</v>
      </c>
    </row>
    <row r="722" spans="1:11" x14ac:dyDescent="0.3">
      <c r="A722" t="s">
        <v>436</v>
      </c>
      <c r="B722">
        <v>155312.78390000001</v>
      </c>
      <c r="C722">
        <v>167421.9737</v>
      </c>
      <c r="D722">
        <v>4382</v>
      </c>
      <c r="E722">
        <f t="shared" si="77"/>
        <v>35.443355522592427</v>
      </c>
      <c r="F722">
        <f t="shared" si="78"/>
        <v>-12109.189799999993</v>
      </c>
      <c r="G722">
        <f t="shared" si="79"/>
        <v>-7.7966471889375444E-2</v>
      </c>
      <c r="H722">
        <f t="shared" si="80"/>
        <v>-2.7633933820173411</v>
      </c>
      <c r="I722">
        <f t="shared" si="81"/>
        <v>38.206748904609768</v>
      </c>
      <c r="J722" t="b">
        <f t="shared" si="82"/>
        <v>0</v>
      </c>
      <c r="K722">
        <f t="shared" si="83"/>
        <v>4382</v>
      </c>
    </row>
    <row r="723" spans="1:11" x14ac:dyDescent="0.3">
      <c r="A723" t="s">
        <v>437</v>
      </c>
      <c r="B723">
        <v>289243.38309999998</v>
      </c>
      <c r="C723">
        <v>312784.9743</v>
      </c>
      <c r="D723">
        <v>8196</v>
      </c>
      <c r="E723">
        <f t="shared" si="77"/>
        <v>35.290798328452901</v>
      </c>
      <c r="F723">
        <f t="shared" si="78"/>
        <v>-23541.591200000024</v>
      </c>
      <c r="G723">
        <f t="shared" si="79"/>
        <v>-8.1390249787878469E-2</v>
      </c>
      <c r="H723">
        <f t="shared" si="80"/>
        <v>-2.8723268911664235</v>
      </c>
      <c r="I723">
        <f t="shared" si="81"/>
        <v>38.163125219619324</v>
      </c>
      <c r="J723" t="b">
        <f t="shared" si="82"/>
        <v>0</v>
      </c>
      <c r="K723">
        <f t="shared" si="83"/>
        <v>8196</v>
      </c>
    </row>
    <row r="724" spans="1:11" x14ac:dyDescent="0.3">
      <c r="A724" t="s">
        <v>438</v>
      </c>
      <c r="B724">
        <v>313125.33250000002</v>
      </c>
      <c r="C724">
        <v>338299.61780000001</v>
      </c>
      <c r="D724">
        <v>8863</v>
      </c>
      <c r="E724">
        <f t="shared" si="77"/>
        <v>35.329497066456057</v>
      </c>
      <c r="F724">
        <f t="shared" si="78"/>
        <v>-25174.285299999989</v>
      </c>
      <c r="G724">
        <f t="shared" si="79"/>
        <v>-8.0396833750268307E-2</v>
      </c>
      <c r="H724">
        <f t="shared" si="80"/>
        <v>-2.8403797021324593</v>
      </c>
      <c r="I724">
        <f t="shared" si="81"/>
        <v>38.169876768588516</v>
      </c>
      <c r="J724" t="b">
        <f t="shared" si="82"/>
        <v>0</v>
      </c>
      <c r="K724">
        <f t="shared" si="83"/>
        <v>8863</v>
      </c>
    </row>
    <row r="725" spans="1:11" x14ac:dyDescent="0.3">
      <c r="A725" t="s">
        <v>439</v>
      </c>
      <c r="B725">
        <v>268330.39270000003</v>
      </c>
      <c r="C725">
        <v>249584.21520000001</v>
      </c>
      <c r="D725">
        <v>6534</v>
      </c>
      <c r="E725">
        <f t="shared" si="77"/>
        <v>41.06678798591981</v>
      </c>
      <c r="F725">
        <f t="shared" si="78"/>
        <v>18746.17750000002</v>
      </c>
      <c r="G725">
        <f t="shared" si="79"/>
        <v>6.9862296668565263E-2</v>
      </c>
      <c r="H725">
        <f t="shared" si="80"/>
        <v>2.8690201254973999</v>
      </c>
      <c r="I725">
        <f t="shared" si="81"/>
        <v>38.19776786042241</v>
      </c>
      <c r="J725" t="b">
        <f t="shared" si="82"/>
        <v>1</v>
      </c>
      <c r="K725">
        <f t="shared" si="83"/>
        <v>6534</v>
      </c>
    </row>
    <row r="726" spans="1:11" x14ac:dyDescent="0.3">
      <c r="A726" t="s">
        <v>440</v>
      </c>
      <c r="B726">
        <v>392228.13799999998</v>
      </c>
      <c r="C726">
        <v>364396.19420000003</v>
      </c>
      <c r="D726">
        <v>9540</v>
      </c>
      <c r="E726">
        <f t="shared" si="77"/>
        <v>41.114060587002093</v>
      </c>
      <c r="F726">
        <f t="shared" si="78"/>
        <v>27831.94379999995</v>
      </c>
      <c r="G726">
        <f t="shared" si="79"/>
        <v>7.0958559836928253E-2</v>
      </c>
      <c r="H726">
        <f t="shared" si="80"/>
        <v>2.9173945283018838</v>
      </c>
      <c r="I726">
        <f t="shared" si="81"/>
        <v>38.19666605870021</v>
      </c>
      <c r="J726" t="b">
        <f t="shared" si="82"/>
        <v>1</v>
      </c>
      <c r="K726">
        <f t="shared" si="83"/>
        <v>9540</v>
      </c>
    </row>
    <row r="727" spans="1:11" x14ac:dyDescent="0.3">
      <c r="A727" t="s">
        <v>441</v>
      </c>
      <c r="B727">
        <v>133728.98370000001</v>
      </c>
      <c r="C727">
        <v>124363.5573</v>
      </c>
      <c r="D727">
        <v>3256</v>
      </c>
      <c r="E727">
        <f t="shared" si="77"/>
        <v>41.071555190417691</v>
      </c>
      <c r="F727">
        <f t="shared" si="78"/>
        <v>9365.4264000000112</v>
      </c>
      <c r="G727">
        <f t="shared" si="79"/>
        <v>7.0032883978314489E-2</v>
      </c>
      <c r="H727">
        <f t="shared" si="80"/>
        <v>2.8763594594594579</v>
      </c>
      <c r="I727">
        <f t="shared" si="81"/>
        <v>38.195195730958233</v>
      </c>
      <c r="J727" t="b">
        <f t="shared" si="82"/>
        <v>1</v>
      </c>
      <c r="K727">
        <f t="shared" si="83"/>
        <v>3256</v>
      </c>
    </row>
    <row r="728" spans="1:11" x14ac:dyDescent="0.3">
      <c r="A728" t="s">
        <v>442</v>
      </c>
      <c r="B728">
        <v>82778.444050000006</v>
      </c>
      <c r="C728">
        <v>76876.492700000003</v>
      </c>
      <c r="D728">
        <v>2013</v>
      </c>
      <c r="E728">
        <f t="shared" si="77"/>
        <v>41.121929483358173</v>
      </c>
      <c r="F728">
        <f t="shared" si="78"/>
        <v>5901.951350000003</v>
      </c>
      <c r="G728">
        <f t="shared" si="79"/>
        <v>7.1298167267254922E-2</v>
      </c>
      <c r="H728">
        <f t="shared" si="80"/>
        <v>2.9319182066567322</v>
      </c>
      <c r="I728">
        <f t="shared" si="81"/>
        <v>38.190011276701441</v>
      </c>
      <c r="J728" t="b">
        <f t="shared" si="82"/>
        <v>1</v>
      </c>
      <c r="K728">
        <f t="shared" si="83"/>
        <v>2013</v>
      </c>
    </row>
    <row r="729" spans="1:11" x14ac:dyDescent="0.3">
      <c r="A729" t="s">
        <v>443</v>
      </c>
      <c r="B729">
        <v>69522.836970000004</v>
      </c>
      <c r="C729">
        <v>64616.076650000003</v>
      </c>
      <c r="D729">
        <v>1692</v>
      </c>
      <c r="E729">
        <f t="shared" si="77"/>
        <v>41.089147145390072</v>
      </c>
      <c r="F729">
        <f t="shared" si="78"/>
        <v>4906.7603200000012</v>
      </c>
      <c r="G729">
        <f t="shared" si="79"/>
        <v>7.0577676830382102E-2</v>
      </c>
      <c r="H729">
        <f t="shared" si="80"/>
        <v>2.8999765484633571</v>
      </c>
      <c r="I729">
        <f t="shared" si="81"/>
        <v>38.189170596926715</v>
      </c>
      <c r="J729" t="b">
        <f t="shared" si="82"/>
        <v>1</v>
      </c>
      <c r="K729">
        <f t="shared" si="83"/>
        <v>1692</v>
      </c>
    </row>
    <row r="730" spans="1:11" x14ac:dyDescent="0.3">
      <c r="A730" t="s">
        <v>444</v>
      </c>
      <c r="B730">
        <v>133021.27280000001</v>
      </c>
      <c r="C730">
        <v>123500.78780000001</v>
      </c>
      <c r="D730">
        <v>3234</v>
      </c>
      <c r="E730">
        <f t="shared" si="77"/>
        <v>41.132118985776131</v>
      </c>
      <c r="F730">
        <f t="shared" si="78"/>
        <v>9520.4850000000006</v>
      </c>
      <c r="G730">
        <f t="shared" si="79"/>
        <v>7.1571146476054462E-2</v>
      </c>
      <c r="H730">
        <f t="shared" si="80"/>
        <v>2.9438729128014884</v>
      </c>
      <c r="I730">
        <f t="shared" si="81"/>
        <v>38.188246072974643</v>
      </c>
      <c r="J730" t="b">
        <f t="shared" si="82"/>
        <v>1</v>
      </c>
      <c r="K730">
        <f t="shared" si="83"/>
        <v>3234</v>
      </c>
    </row>
    <row r="731" spans="1:11" x14ac:dyDescent="0.3">
      <c r="A731" t="s">
        <v>445</v>
      </c>
      <c r="B731">
        <v>161267.52059999999</v>
      </c>
      <c r="C731">
        <v>175378.1459</v>
      </c>
      <c r="D731">
        <v>4592</v>
      </c>
      <c r="E731">
        <f t="shared" si="77"/>
        <v>35.119233580139372</v>
      </c>
      <c r="F731">
        <f t="shared" si="78"/>
        <v>-14110.625300000014</v>
      </c>
      <c r="G731">
        <f t="shared" si="79"/>
        <v>-8.7498246686630185E-2</v>
      </c>
      <c r="H731">
        <f t="shared" si="80"/>
        <v>-3.0728713632404165</v>
      </c>
      <c r="I731">
        <f t="shared" si="81"/>
        <v>38.192104943379789</v>
      </c>
      <c r="J731" t="b">
        <f t="shared" si="82"/>
        <v>0</v>
      </c>
      <c r="K731">
        <f t="shared" si="83"/>
        <v>4592</v>
      </c>
    </row>
    <row r="732" spans="1:11" x14ac:dyDescent="0.3">
      <c r="A732" t="s">
        <v>446</v>
      </c>
      <c r="B732">
        <v>208583.21799999999</v>
      </c>
      <c r="C732">
        <v>227060.26269999999</v>
      </c>
      <c r="D732">
        <v>5945</v>
      </c>
      <c r="E732">
        <f t="shared" si="77"/>
        <v>35.085486627418</v>
      </c>
      <c r="F732">
        <f t="shared" si="78"/>
        <v>-18477.044699999999</v>
      </c>
      <c r="G732">
        <f t="shared" si="79"/>
        <v>-8.8583563323872003E-2</v>
      </c>
      <c r="H732">
        <f t="shared" si="80"/>
        <v>-3.107997426408744</v>
      </c>
      <c r="I732">
        <f t="shared" si="81"/>
        <v>38.193484053826744</v>
      </c>
      <c r="J732" t="b">
        <f t="shared" si="82"/>
        <v>0</v>
      </c>
      <c r="K732">
        <f t="shared" si="83"/>
        <v>5945</v>
      </c>
    </row>
    <row r="733" spans="1:11" x14ac:dyDescent="0.3">
      <c r="A733" t="s">
        <v>447</v>
      </c>
      <c r="B733">
        <v>325457.52500000002</v>
      </c>
      <c r="C733">
        <v>353929.73839999997</v>
      </c>
      <c r="D733">
        <v>9266</v>
      </c>
      <c r="E733">
        <f t="shared" si="77"/>
        <v>35.123842542628971</v>
      </c>
      <c r="F733">
        <f t="shared" si="78"/>
        <v>-28472.21339999995</v>
      </c>
      <c r="G733">
        <f t="shared" si="79"/>
        <v>-8.7483653665712438E-2</v>
      </c>
      <c r="H733">
        <f t="shared" si="80"/>
        <v>-3.0727620764083667</v>
      </c>
      <c r="I733">
        <f t="shared" si="81"/>
        <v>38.196604619037338</v>
      </c>
      <c r="J733" t="b">
        <f t="shared" si="82"/>
        <v>0</v>
      </c>
      <c r="K733">
        <f t="shared" si="83"/>
        <v>9266</v>
      </c>
    </row>
    <row r="734" spans="1:11" x14ac:dyDescent="0.3">
      <c r="A734" s="1">
        <v>42370</v>
      </c>
      <c r="B734">
        <v>111650.2398</v>
      </c>
      <c r="C734">
        <v>121448.2838</v>
      </c>
      <c r="D734">
        <v>3179</v>
      </c>
      <c r="E734">
        <f t="shared" si="77"/>
        <v>35.121182698961938</v>
      </c>
      <c r="F734">
        <f t="shared" si="78"/>
        <v>-9798.044000000009</v>
      </c>
      <c r="G734">
        <f t="shared" si="79"/>
        <v>-8.7756587156026952E-2</v>
      </c>
      <c r="H734">
        <f t="shared" si="80"/>
        <v>-3.0821151305441958</v>
      </c>
      <c r="I734">
        <f t="shared" si="81"/>
        <v>38.203297829506134</v>
      </c>
      <c r="J734" t="b">
        <f t="shared" si="82"/>
        <v>0</v>
      </c>
      <c r="K734">
        <f t="shared" si="83"/>
        <v>3179</v>
      </c>
    </row>
    <row r="735" spans="1:11" x14ac:dyDescent="0.3">
      <c r="A735" s="1">
        <v>42401</v>
      </c>
      <c r="B735">
        <v>262421.2819</v>
      </c>
      <c r="C735">
        <v>285675.84570000001</v>
      </c>
      <c r="D735">
        <v>7479</v>
      </c>
      <c r="E735">
        <f t="shared" si="77"/>
        <v>35.087749953202298</v>
      </c>
      <c r="F735">
        <f t="shared" si="78"/>
        <v>-23254.563800000004</v>
      </c>
      <c r="G735">
        <f t="shared" si="79"/>
        <v>-8.8615388323808053E-2</v>
      </c>
      <c r="H735">
        <f t="shared" si="80"/>
        <v>-3.1093145875117045</v>
      </c>
      <c r="I735">
        <f t="shared" si="81"/>
        <v>38.197064540714003</v>
      </c>
      <c r="J735" t="b">
        <f t="shared" si="82"/>
        <v>0</v>
      </c>
      <c r="K735">
        <f t="shared" si="83"/>
        <v>7479</v>
      </c>
    </row>
    <row r="736" spans="1:11" x14ac:dyDescent="0.3">
      <c r="A736" s="1">
        <v>42430</v>
      </c>
      <c r="B736">
        <v>164527.53890000001</v>
      </c>
      <c r="C736">
        <v>179308.94949999999</v>
      </c>
      <c r="D736">
        <v>4694</v>
      </c>
      <c r="E736">
        <f t="shared" si="77"/>
        <v>35.050604793353223</v>
      </c>
      <c r="F736">
        <f t="shared" si="78"/>
        <v>-14781.410599999974</v>
      </c>
      <c r="G736">
        <f t="shared" si="79"/>
        <v>-8.9841559041274721E-2</v>
      </c>
      <c r="H736">
        <f t="shared" si="80"/>
        <v>-3.1490009799744243</v>
      </c>
      <c r="I736">
        <f t="shared" si="81"/>
        <v>38.199605773327647</v>
      </c>
      <c r="J736" t="b">
        <f t="shared" si="82"/>
        <v>0</v>
      </c>
      <c r="K736">
        <f t="shared" si="83"/>
        <v>4694</v>
      </c>
    </row>
    <row r="737" spans="1:11" x14ac:dyDescent="0.3">
      <c r="A737" s="1">
        <v>42461</v>
      </c>
      <c r="B737">
        <v>274990.14649999997</v>
      </c>
      <c r="C737">
        <v>299576.2414</v>
      </c>
      <c r="D737">
        <v>7843</v>
      </c>
      <c r="E737">
        <f t="shared" si="77"/>
        <v>35.061857261252065</v>
      </c>
      <c r="F737">
        <f t="shared" si="78"/>
        <v>-24586.094900000026</v>
      </c>
      <c r="G737">
        <f t="shared" si="79"/>
        <v>-8.9407184995263192E-2</v>
      </c>
      <c r="H737">
        <f t="shared" si="80"/>
        <v>-3.1347819584342815</v>
      </c>
      <c r="I737">
        <f t="shared" si="81"/>
        <v>38.196639219686347</v>
      </c>
      <c r="J737" t="b">
        <f t="shared" si="82"/>
        <v>0</v>
      </c>
      <c r="K737">
        <f t="shared" si="83"/>
        <v>7843</v>
      </c>
    </row>
    <row r="738" spans="1:11" x14ac:dyDescent="0.3">
      <c r="A738" s="1">
        <v>42491</v>
      </c>
      <c r="B738">
        <v>215737.84280000001</v>
      </c>
      <c r="C738">
        <v>234642.0857</v>
      </c>
      <c r="D738">
        <v>6150</v>
      </c>
      <c r="E738">
        <f t="shared" si="77"/>
        <v>35.079324032520326</v>
      </c>
      <c r="F738">
        <f t="shared" si="78"/>
        <v>-18904.242899999983</v>
      </c>
      <c r="G738">
        <f t="shared" si="79"/>
        <v>-8.7625993913015898E-2</v>
      </c>
      <c r="H738">
        <f t="shared" si="80"/>
        <v>-3.0738606341463424</v>
      </c>
      <c r="I738">
        <f t="shared" si="81"/>
        <v>38.153184666666668</v>
      </c>
      <c r="J738" t="b">
        <f t="shared" si="82"/>
        <v>0</v>
      </c>
      <c r="K738">
        <f t="shared" si="83"/>
        <v>6150</v>
      </c>
    </row>
    <row r="739" spans="1:11" x14ac:dyDescent="0.3">
      <c r="A739" s="1">
        <v>42522</v>
      </c>
      <c r="B739">
        <v>98646.982699999993</v>
      </c>
      <c r="C739">
        <v>91610.559999999998</v>
      </c>
      <c r="D739">
        <v>2401</v>
      </c>
      <c r="E739">
        <f t="shared" si="77"/>
        <v>41.085790379008742</v>
      </c>
      <c r="F739">
        <f t="shared" si="78"/>
        <v>7036.4226999999955</v>
      </c>
      <c r="G739">
        <f t="shared" si="79"/>
        <v>7.1329325108693831E-2</v>
      </c>
      <c r="H739">
        <f t="shared" si="80"/>
        <v>2.9306216992919616</v>
      </c>
      <c r="I739">
        <f t="shared" si="81"/>
        <v>38.15516867971678</v>
      </c>
      <c r="J739" t="b">
        <f t="shared" si="82"/>
        <v>1</v>
      </c>
      <c r="K739">
        <f t="shared" si="83"/>
        <v>2401</v>
      </c>
    </row>
    <row r="740" spans="1:11" x14ac:dyDescent="0.3">
      <c r="A740" s="1">
        <v>42552</v>
      </c>
      <c r="B740">
        <v>74401.215289999993</v>
      </c>
      <c r="C740">
        <v>68988.861260000005</v>
      </c>
      <c r="D740">
        <v>1808</v>
      </c>
      <c r="E740">
        <f t="shared" si="77"/>
        <v>41.151114651548667</v>
      </c>
      <c r="F740">
        <f t="shared" si="78"/>
        <v>5412.3540299999877</v>
      </c>
      <c r="G740">
        <f t="shared" si="79"/>
        <v>7.2745505687021261E-2</v>
      </c>
      <c r="H740">
        <f t="shared" si="80"/>
        <v>2.993558644911495</v>
      </c>
      <c r="I740">
        <f t="shared" si="81"/>
        <v>38.157556006637172</v>
      </c>
      <c r="J740" t="b">
        <f t="shared" si="82"/>
        <v>1</v>
      </c>
      <c r="K740">
        <f t="shared" si="83"/>
        <v>1808</v>
      </c>
    </row>
    <row r="741" spans="1:11" x14ac:dyDescent="0.3">
      <c r="A741" s="1">
        <v>42583</v>
      </c>
      <c r="B741">
        <v>106592.34299999999</v>
      </c>
      <c r="C741">
        <v>99021.682920000007</v>
      </c>
      <c r="D741">
        <v>2594</v>
      </c>
      <c r="E741">
        <f t="shared" si="77"/>
        <v>41.091882420971473</v>
      </c>
      <c r="F741">
        <f t="shared" si="78"/>
        <v>7570.6600799999869</v>
      </c>
      <c r="G741">
        <f t="shared" si="79"/>
        <v>7.1024426960949599E-2</v>
      </c>
      <c r="H741">
        <f t="shared" si="80"/>
        <v>2.9185274016962168</v>
      </c>
      <c r="I741">
        <f t="shared" si="81"/>
        <v>38.173355019275256</v>
      </c>
      <c r="J741" t="b">
        <f t="shared" si="82"/>
        <v>1</v>
      </c>
      <c r="K741">
        <f t="shared" si="83"/>
        <v>2594</v>
      </c>
    </row>
    <row r="742" spans="1:11" x14ac:dyDescent="0.3">
      <c r="A742" s="1">
        <v>42614</v>
      </c>
      <c r="B742">
        <v>134629.65820000001</v>
      </c>
      <c r="C742">
        <v>124963.46550000001</v>
      </c>
      <c r="D742">
        <v>3274</v>
      </c>
      <c r="E742">
        <f t="shared" si="77"/>
        <v>41.120848564447158</v>
      </c>
      <c r="F742">
        <f t="shared" si="78"/>
        <v>9666.1926999999996</v>
      </c>
      <c r="G742">
        <f t="shared" si="79"/>
        <v>7.1798389962784578E-2</v>
      </c>
      <c r="H742">
        <f t="shared" si="80"/>
        <v>2.9524107208307839</v>
      </c>
      <c r="I742">
        <f t="shared" si="81"/>
        <v>38.168437843616374</v>
      </c>
      <c r="J742" t="b">
        <f t="shared" si="82"/>
        <v>1</v>
      </c>
      <c r="K742">
        <f t="shared" si="83"/>
        <v>3274</v>
      </c>
    </row>
    <row r="743" spans="1:11" x14ac:dyDescent="0.3">
      <c r="A743" s="1">
        <v>42644</v>
      </c>
      <c r="B743">
        <v>90773.653059999997</v>
      </c>
      <c r="C743">
        <v>84299.288239999994</v>
      </c>
      <c r="D743">
        <v>2207</v>
      </c>
      <c r="E743">
        <f t="shared" si="77"/>
        <v>41.129883579519706</v>
      </c>
      <c r="F743">
        <f t="shared" si="78"/>
        <v>6474.3648200000025</v>
      </c>
      <c r="G743">
        <f t="shared" si="79"/>
        <v>7.1324273087484388E-2</v>
      </c>
      <c r="H743">
        <f t="shared" si="80"/>
        <v>2.9335590484821026</v>
      </c>
      <c r="I743">
        <f t="shared" si="81"/>
        <v>38.196324531037604</v>
      </c>
      <c r="J743" t="b">
        <f t="shared" si="82"/>
        <v>1</v>
      </c>
      <c r="K743">
        <f t="shared" si="83"/>
        <v>2207</v>
      </c>
    </row>
    <row r="744" spans="1:11" x14ac:dyDescent="0.3">
      <c r="A744" s="1">
        <v>42675</v>
      </c>
      <c r="B744">
        <v>121373.06819999999</v>
      </c>
      <c r="C744">
        <v>112550.4323</v>
      </c>
      <c r="D744">
        <v>2949</v>
      </c>
      <c r="E744">
        <f t="shared" si="77"/>
        <v>41.157364598168868</v>
      </c>
      <c r="F744">
        <f t="shared" si="78"/>
        <v>8822.6358999999939</v>
      </c>
      <c r="G744">
        <f t="shared" si="79"/>
        <v>7.2690227171829824E-2</v>
      </c>
      <c r="H744">
        <f t="shared" si="80"/>
        <v>2.9917381824347231</v>
      </c>
      <c r="I744">
        <f t="shared" si="81"/>
        <v>38.165626415734145</v>
      </c>
      <c r="J744" t="b">
        <f t="shared" si="82"/>
        <v>1</v>
      </c>
      <c r="K744">
        <f t="shared" si="83"/>
        <v>2949</v>
      </c>
    </row>
    <row r="745" spans="1:11" x14ac:dyDescent="0.3">
      <c r="A745" s="1">
        <v>42705</v>
      </c>
      <c r="B745">
        <v>99445.557100000005</v>
      </c>
      <c r="C745">
        <v>92226.518100000001</v>
      </c>
      <c r="D745">
        <v>2417</v>
      </c>
      <c r="E745">
        <f t="shared" si="77"/>
        <v>41.144210633016137</v>
      </c>
      <c r="F745">
        <f t="shared" si="78"/>
        <v>7219.0390000000043</v>
      </c>
      <c r="G745">
        <f t="shared" si="79"/>
        <v>7.2592876047149257E-2</v>
      </c>
      <c r="H745">
        <f t="shared" si="80"/>
        <v>2.9867765825403367</v>
      </c>
      <c r="I745">
        <f t="shared" si="81"/>
        <v>38.1574340504758</v>
      </c>
      <c r="J745" t="b">
        <f t="shared" si="82"/>
        <v>1</v>
      </c>
      <c r="K745">
        <f t="shared" si="83"/>
        <v>2417</v>
      </c>
    </row>
    <row r="746" spans="1:11" x14ac:dyDescent="0.3">
      <c r="A746" t="s">
        <v>448</v>
      </c>
      <c r="B746">
        <v>67587.546929999997</v>
      </c>
      <c r="C746">
        <v>62760.356829999997</v>
      </c>
      <c r="D746">
        <v>1644</v>
      </c>
      <c r="E746">
        <f t="shared" si="77"/>
        <v>41.111646551094886</v>
      </c>
      <c r="F746">
        <f t="shared" si="78"/>
        <v>4827.1900999999998</v>
      </c>
      <c r="G746">
        <f t="shared" si="79"/>
        <v>7.1421294591435466E-2</v>
      </c>
      <c r="H746">
        <f t="shared" si="80"/>
        <v>2.9362470194647159</v>
      </c>
      <c r="I746">
        <f t="shared" si="81"/>
        <v>38.17539953163017</v>
      </c>
      <c r="J746" t="b">
        <f t="shared" si="82"/>
        <v>1</v>
      </c>
      <c r="K746">
        <f t="shared" si="83"/>
        <v>1644</v>
      </c>
    </row>
    <row r="747" spans="1:11" x14ac:dyDescent="0.3">
      <c r="A747" t="s">
        <v>449</v>
      </c>
      <c r="B747">
        <v>61685.935239999999</v>
      </c>
      <c r="C747">
        <v>57191.439319999998</v>
      </c>
      <c r="D747">
        <v>1499</v>
      </c>
      <c r="E747">
        <f t="shared" si="77"/>
        <v>41.151391087391595</v>
      </c>
      <c r="F747">
        <f t="shared" si="78"/>
        <v>4494.4959200000012</v>
      </c>
      <c r="G747">
        <f t="shared" si="79"/>
        <v>7.2860951244613101E-2</v>
      </c>
      <c r="H747">
        <f t="shared" si="80"/>
        <v>2.9983294996664469</v>
      </c>
      <c r="I747">
        <f t="shared" si="81"/>
        <v>38.153061587725148</v>
      </c>
      <c r="J747" t="b">
        <f t="shared" si="82"/>
        <v>1</v>
      </c>
      <c r="K747">
        <f t="shared" si="83"/>
        <v>1499</v>
      </c>
    </row>
    <row r="748" spans="1:11" x14ac:dyDescent="0.3">
      <c r="A748" t="s">
        <v>450</v>
      </c>
      <c r="B748">
        <v>150006.92980000001</v>
      </c>
      <c r="C748">
        <v>139244.8958</v>
      </c>
      <c r="D748">
        <v>3648</v>
      </c>
      <c r="E748">
        <f t="shared" si="77"/>
        <v>41.120320668859655</v>
      </c>
      <c r="F748">
        <f t="shared" si="78"/>
        <v>10762.034000000014</v>
      </c>
      <c r="G748">
        <f t="shared" si="79"/>
        <v>7.1743578875647473E-2</v>
      </c>
      <c r="H748">
        <f t="shared" si="80"/>
        <v>2.9501189692982521</v>
      </c>
      <c r="I748">
        <f t="shared" si="81"/>
        <v>38.170201699561403</v>
      </c>
      <c r="J748" t="b">
        <f t="shared" si="82"/>
        <v>1</v>
      </c>
      <c r="K748">
        <f t="shared" si="83"/>
        <v>3648</v>
      </c>
    </row>
    <row r="749" spans="1:11" x14ac:dyDescent="0.3">
      <c r="A749" t="s">
        <v>451</v>
      </c>
      <c r="B749">
        <v>191287.3535</v>
      </c>
      <c r="C749">
        <v>177577.28719999999</v>
      </c>
      <c r="D749">
        <v>4652</v>
      </c>
      <c r="E749">
        <f t="shared" si="77"/>
        <v>41.119379514187443</v>
      </c>
      <c r="F749">
        <f t="shared" si="78"/>
        <v>13710.066300000006</v>
      </c>
      <c r="G749">
        <f t="shared" si="79"/>
        <v>7.1672622623220134E-2</v>
      </c>
      <c r="H749">
        <f t="shared" si="80"/>
        <v>2.9471337704213241</v>
      </c>
      <c r="I749">
        <f t="shared" si="81"/>
        <v>38.172245743766119</v>
      </c>
      <c r="J749" t="b">
        <f t="shared" si="82"/>
        <v>1</v>
      </c>
      <c r="K749">
        <f t="shared" si="83"/>
        <v>4652</v>
      </c>
    </row>
    <row r="750" spans="1:11" x14ac:dyDescent="0.3">
      <c r="A750" t="s">
        <v>452</v>
      </c>
      <c r="B750">
        <v>92595.46084</v>
      </c>
      <c r="C750">
        <v>86018.189610000001</v>
      </c>
      <c r="D750">
        <v>2252</v>
      </c>
      <c r="E750">
        <f t="shared" si="77"/>
        <v>41.116989715808174</v>
      </c>
      <c r="F750">
        <f t="shared" si="78"/>
        <v>6577.2712299999985</v>
      </c>
      <c r="G750">
        <f t="shared" si="79"/>
        <v>7.1032328910432999E-2</v>
      </c>
      <c r="H750">
        <f t="shared" si="80"/>
        <v>2.9206355373001784</v>
      </c>
      <c r="I750">
        <f t="shared" si="81"/>
        <v>38.196354178507995</v>
      </c>
      <c r="J750" t="b">
        <f t="shared" si="82"/>
        <v>1</v>
      </c>
      <c r="K750">
        <f t="shared" si="83"/>
        <v>2252</v>
      </c>
    </row>
    <row r="751" spans="1:11" x14ac:dyDescent="0.3">
      <c r="A751" t="s">
        <v>453</v>
      </c>
      <c r="B751">
        <v>96947.05429</v>
      </c>
      <c r="C751">
        <v>89961.359500000006</v>
      </c>
      <c r="D751">
        <v>2357</v>
      </c>
      <c r="E751">
        <f t="shared" si="77"/>
        <v>41.131546156130675</v>
      </c>
      <c r="F751">
        <f t="shared" si="78"/>
        <v>6985.6947899999941</v>
      </c>
      <c r="G751">
        <f t="shared" si="79"/>
        <v>7.205680297519429E-2</v>
      </c>
      <c r="H751">
        <f t="shared" si="80"/>
        <v>2.9638077174374189</v>
      </c>
      <c r="I751">
        <f t="shared" si="81"/>
        <v>38.167738438693256</v>
      </c>
      <c r="J751" t="b">
        <f t="shared" si="82"/>
        <v>1</v>
      </c>
      <c r="K751">
        <f t="shared" si="83"/>
        <v>2357</v>
      </c>
    </row>
    <row r="752" spans="1:11" x14ac:dyDescent="0.3">
      <c r="A752" t="s">
        <v>454</v>
      </c>
      <c r="B752">
        <v>70512.894499999995</v>
      </c>
      <c r="C752">
        <v>65453.276389999999</v>
      </c>
      <c r="D752">
        <v>1715</v>
      </c>
      <c r="E752">
        <f t="shared" si="77"/>
        <v>41.115390379008744</v>
      </c>
      <c r="F752">
        <f t="shared" si="78"/>
        <v>5059.6181099999958</v>
      </c>
      <c r="G752">
        <f t="shared" si="79"/>
        <v>7.1754508815405335E-2</v>
      </c>
      <c r="H752">
        <f t="shared" si="80"/>
        <v>2.9502146413994126</v>
      </c>
      <c r="I752">
        <f t="shared" si="81"/>
        <v>38.165175737609331</v>
      </c>
      <c r="J752" t="b">
        <f t="shared" si="82"/>
        <v>1</v>
      </c>
      <c r="K752">
        <f t="shared" si="83"/>
        <v>1715</v>
      </c>
    </row>
    <row r="753" spans="1:11" x14ac:dyDescent="0.3">
      <c r="A753" t="s">
        <v>455</v>
      </c>
      <c r="B753">
        <v>159590.4901</v>
      </c>
      <c r="C753">
        <v>182351.13879999999</v>
      </c>
      <c r="D753">
        <v>4776</v>
      </c>
      <c r="E753">
        <f t="shared" si="77"/>
        <v>33.415094242043551</v>
      </c>
      <c r="F753">
        <f t="shared" si="78"/>
        <v>-22760.648699999991</v>
      </c>
      <c r="G753">
        <f t="shared" si="79"/>
        <v>-0.14261907890462699</v>
      </c>
      <c r="H753">
        <f t="shared" si="80"/>
        <v>-4.7656299623115572</v>
      </c>
      <c r="I753">
        <f t="shared" si="81"/>
        <v>38.180724204355108</v>
      </c>
      <c r="J753" t="b">
        <f t="shared" si="82"/>
        <v>0</v>
      </c>
      <c r="K753">
        <f t="shared" si="83"/>
        <v>4776</v>
      </c>
    </row>
    <row r="754" spans="1:11" x14ac:dyDescent="0.3">
      <c r="A754" t="s">
        <v>456</v>
      </c>
      <c r="B754">
        <v>67046.273419999998</v>
      </c>
      <c r="C754">
        <v>61894.262560000003</v>
      </c>
      <c r="D754">
        <v>1628</v>
      </c>
      <c r="E754">
        <f t="shared" si="77"/>
        <v>41.18321463144963</v>
      </c>
      <c r="F754">
        <f t="shared" si="78"/>
        <v>5152.0108599999949</v>
      </c>
      <c r="G754">
        <f t="shared" si="79"/>
        <v>7.6842613275850513E-2</v>
      </c>
      <c r="H754">
        <f t="shared" si="80"/>
        <v>3.1646258353808321</v>
      </c>
      <c r="I754">
        <f t="shared" si="81"/>
        <v>38.018588796068798</v>
      </c>
      <c r="J754" t="b">
        <f t="shared" si="82"/>
        <v>1</v>
      </c>
      <c r="K754">
        <f t="shared" si="83"/>
        <v>1628</v>
      </c>
    </row>
    <row r="755" spans="1:11" x14ac:dyDescent="0.3">
      <c r="A755" t="s">
        <v>457</v>
      </c>
      <c r="B755">
        <v>266949.23879999999</v>
      </c>
      <c r="C755">
        <v>294322.92719999998</v>
      </c>
      <c r="D755">
        <v>7806</v>
      </c>
      <c r="E755">
        <f t="shared" si="77"/>
        <v>34.197955265180632</v>
      </c>
      <c r="F755">
        <f t="shared" si="78"/>
        <v>-27373.688399999985</v>
      </c>
      <c r="G755">
        <f t="shared" si="79"/>
        <v>-0.10254267261840189</v>
      </c>
      <c r="H755">
        <f t="shared" si="80"/>
        <v>-3.5067497309761677</v>
      </c>
      <c r="I755">
        <f t="shared" si="81"/>
        <v>37.704704996156799</v>
      </c>
      <c r="J755" t="b">
        <f t="shared" si="82"/>
        <v>0</v>
      </c>
      <c r="K755">
        <f t="shared" si="83"/>
        <v>7806</v>
      </c>
    </row>
    <row r="756" spans="1:11" x14ac:dyDescent="0.3">
      <c r="A756" t="s">
        <v>458</v>
      </c>
      <c r="B756">
        <v>315272.22480000003</v>
      </c>
      <c r="C756">
        <v>346093.06699999998</v>
      </c>
      <c r="D756">
        <v>9210</v>
      </c>
      <c r="E756">
        <f t="shared" si="77"/>
        <v>34.231511921824108</v>
      </c>
      <c r="F756">
        <f t="shared" si="78"/>
        <v>-30820.842199999955</v>
      </c>
      <c r="G756">
        <f t="shared" si="79"/>
        <v>-9.7759459208789631E-2</v>
      </c>
      <c r="H756">
        <f t="shared" si="80"/>
        <v>-3.3464540933767566</v>
      </c>
      <c r="I756">
        <f t="shared" si="81"/>
        <v>37.577966015200865</v>
      </c>
      <c r="J756" t="b">
        <f t="shared" si="82"/>
        <v>0</v>
      </c>
      <c r="K756">
        <f t="shared" si="83"/>
        <v>9210</v>
      </c>
    </row>
    <row r="757" spans="1:11" x14ac:dyDescent="0.3">
      <c r="A757" t="s">
        <v>459</v>
      </c>
      <c r="B757">
        <v>149138.9215</v>
      </c>
      <c r="C757">
        <v>163505.71299999999</v>
      </c>
      <c r="D757">
        <v>4351</v>
      </c>
      <c r="E757">
        <f t="shared" si="77"/>
        <v>34.276929786256034</v>
      </c>
      <c r="F757">
        <f t="shared" si="78"/>
        <v>-14366.791499999992</v>
      </c>
      <c r="G757">
        <f t="shared" si="79"/>
        <v>-9.6331603819462999E-2</v>
      </c>
      <c r="H757">
        <f t="shared" si="80"/>
        <v>-3.3019516203171619</v>
      </c>
      <c r="I757">
        <f t="shared" si="81"/>
        <v>37.578881406573196</v>
      </c>
      <c r="J757" t="b">
        <f t="shared" si="82"/>
        <v>0</v>
      </c>
      <c r="K757">
        <f t="shared" si="83"/>
        <v>4351</v>
      </c>
    </row>
    <row r="758" spans="1:11" x14ac:dyDescent="0.3">
      <c r="A758" t="s">
        <v>460</v>
      </c>
      <c r="B758">
        <v>215171.03820000001</v>
      </c>
      <c r="C758">
        <v>234621.59890000001</v>
      </c>
      <c r="D758">
        <v>6278</v>
      </c>
      <c r="E758">
        <f t="shared" si="77"/>
        <v>34.273819401083152</v>
      </c>
      <c r="F758">
        <f t="shared" si="78"/>
        <v>-19450.560700000002</v>
      </c>
      <c r="G758">
        <f t="shared" si="79"/>
        <v>-9.0395811921123129E-2</v>
      </c>
      <c r="H758">
        <f t="shared" si="80"/>
        <v>-3.0982097323988498</v>
      </c>
      <c r="I758">
        <f t="shared" si="81"/>
        <v>37.372029133482002</v>
      </c>
      <c r="J758" t="b">
        <f t="shared" si="82"/>
        <v>0</v>
      </c>
      <c r="K758">
        <f t="shared" si="83"/>
        <v>6278</v>
      </c>
    </row>
    <row r="759" spans="1:11" x14ac:dyDescent="0.3">
      <c r="A759" t="s">
        <v>461</v>
      </c>
      <c r="B759">
        <v>205197.89840000001</v>
      </c>
      <c r="C759">
        <v>221931.58009999999</v>
      </c>
      <c r="D759">
        <v>5992</v>
      </c>
      <c r="E759">
        <f t="shared" si="77"/>
        <v>34.245310146862487</v>
      </c>
      <c r="F759">
        <f t="shared" si="78"/>
        <v>-16733.681699999986</v>
      </c>
      <c r="G759">
        <f t="shared" si="79"/>
        <v>-8.154899163431191E-2</v>
      </c>
      <c r="H759">
        <f t="shared" si="80"/>
        <v>-2.7926705106809067</v>
      </c>
      <c r="I759">
        <f t="shared" si="81"/>
        <v>37.037980657543393</v>
      </c>
      <c r="J759" t="b">
        <f t="shared" si="82"/>
        <v>0</v>
      </c>
      <c r="K759">
        <f t="shared" si="83"/>
        <v>5992</v>
      </c>
    </row>
    <row r="760" spans="1:11" x14ac:dyDescent="0.3">
      <c r="A760" t="s">
        <v>462</v>
      </c>
      <c r="B760">
        <v>214452.24840000001</v>
      </c>
      <c r="C760">
        <v>231730.23269999999</v>
      </c>
      <c r="D760">
        <v>6265</v>
      </c>
      <c r="E760">
        <f t="shared" si="77"/>
        <v>34.230207246608146</v>
      </c>
      <c r="F760">
        <f t="shared" si="78"/>
        <v>-17277.984299999982</v>
      </c>
      <c r="G760">
        <f t="shared" si="79"/>
        <v>-8.0567979253697491E-2</v>
      </c>
      <c r="H760">
        <f t="shared" si="80"/>
        <v>-2.7578586272944889</v>
      </c>
      <c r="I760">
        <f t="shared" si="81"/>
        <v>36.988065873902634</v>
      </c>
      <c r="J760" t="b">
        <f t="shared" si="82"/>
        <v>0</v>
      </c>
      <c r="K760">
        <f t="shared" si="83"/>
        <v>6265</v>
      </c>
    </row>
    <row r="761" spans="1:11" x14ac:dyDescent="0.3">
      <c r="A761" t="s">
        <v>463</v>
      </c>
      <c r="B761">
        <v>195767.9736</v>
      </c>
      <c r="C761">
        <v>210639.84820000001</v>
      </c>
      <c r="D761">
        <v>5723</v>
      </c>
      <c r="E761">
        <f t="shared" si="77"/>
        <v>34.207229355233267</v>
      </c>
      <c r="F761">
        <f t="shared" si="78"/>
        <v>-14871.87460000001</v>
      </c>
      <c r="G761">
        <f t="shared" si="79"/>
        <v>-7.5966841391466547E-2</v>
      </c>
      <c r="H761">
        <f t="shared" si="80"/>
        <v>-2.5986151668705233</v>
      </c>
      <c r="I761">
        <f t="shared" si="81"/>
        <v>36.80584452210379</v>
      </c>
      <c r="J761" t="b">
        <f t="shared" si="82"/>
        <v>0</v>
      </c>
      <c r="K761">
        <f t="shared" si="83"/>
        <v>5723</v>
      </c>
    </row>
    <row r="762" spans="1:11" x14ac:dyDescent="0.3">
      <c r="A762" t="s">
        <v>464</v>
      </c>
      <c r="B762">
        <v>397984.32929999998</v>
      </c>
      <c r="C762">
        <v>437198.92959999997</v>
      </c>
      <c r="D762">
        <v>11900</v>
      </c>
      <c r="E762">
        <f t="shared" si="77"/>
        <v>33.444061285714284</v>
      </c>
      <c r="F762">
        <f t="shared" si="78"/>
        <v>-39214.600299999991</v>
      </c>
      <c r="G762">
        <f t="shared" si="79"/>
        <v>-9.8533026084150377E-2</v>
      </c>
      <c r="H762">
        <f t="shared" si="80"/>
        <v>-3.2953445630252105</v>
      </c>
      <c r="I762">
        <f t="shared" si="81"/>
        <v>36.739405848739494</v>
      </c>
      <c r="J762" t="b">
        <f t="shared" si="82"/>
        <v>0</v>
      </c>
      <c r="K762">
        <f t="shared" si="83"/>
        <v>11900</v>
      </c>
    </row>
    <row r="763" spans="1:11" x14ac:dyDescent="0.3">
      <c r="A763" t="s">
        <v>465</v>
      </c>
      <c r="B763">
        <v>512603.10350000003</v>
      </c>
      <c r="C763">
        <v>561872.20600000001</v>
      </c>
      <c r="D763">
        <v>15345</v>
      </c>
      <c r="E763">
        <f t="shared" si="77"/>
        <v>33.405220169436298</v>
      </c>
      <c r="F763">
        <f t="shared" si="78"/>
        <v>-49269.102499999979</v>
      </c>
      <c r="G763">
        <f t="shared" si="79"/>
        <v>-9.6115497864909E-2</v>
      </c>
      <c r="H763">
        <f t="shared" si="80"/>
        <v>-3.2107593678722708</v>
      </c>
      <c r="I763">
        <f t="shared" si="81"/>
        <v>36.615979537308569</v>
      </c>
      <c r="J763" t="b">
        <f t="shared" si="82"/>
        <v>0</v>
      </c>
      <c r="K763">
        <f t="shared" si="83"/>
        <v>15345</v>
      </c>
    </row>
    <row r="764" spans="1:11" x14ac:dyDescent="0.3">
      <c r="A764" t="s">
        <v>466</v>
      </c>
      <c r="B764">
        <v>218104.06690000001</v>
      </c>
      <c r="C764">
        <v>238662.19209999999</v>
      </c>
      <c r="D764">
        <v>6525</v>
      </c>
      <c r="E764">
        <f t="shared" si="77"/>
        <v>33.425910636015324</v>
      </c>
      <c r="F764">
        <f t="shared" si="78"/>
        <v>-20558.12519999998</v>
      </c>
      <c r="G764">
        <f t="shared" si="79"/>
        <v>-9.4258330402549592E-2</v>
      </c>
      <c r="H764">
        <f t="shared" si="80"/>
        <v>-3.1506705287356311</v>
      </c>
      <c r="I764">
        <f t="shared" si="81"/>
        <v>36.576581164750955</v>
      </c>
      <c r="J764" t="b">
        <f t="shared" si="82"/>
        <v>0</v>
      </c>
      <c r="K764">
        <f t="shared" si="83"/>
        <v>6525</v>
      </c>
    </row>
    <row r="765" spans="1:11" x14ac:dyDescent="0.3">
      <c r="A765" s="1">
        <v>42371</v>
      </c>
      <c r="B765">
        <v>339004.33689999999</v>
      </c>
      <c r="C765">
        <v>371177.18689999997</v>
      </c>
      <c r="D765">
        <v>10153</v>
      </c>
      <c r="E765">
        <f t="shared" si="77"/>
        <v>33.389573219738011</v>
      </c>
      <c r="F765">
        <f t="shared" si="78"/>
        <v>-32172.849999999977</v>
      </c>
      <c r="G765">
        <f t="shared" si="79"/>
        <v>-9.4903948115243053E-2</v>
      </c>
      <c r="H765">
        <f t="shared" si="80"/>
        <v>-3.1688023244361219</v>
      </c>
      <c r="I765">
        <f t="shared" si="81"/>
        <v>36.558375544174133</v>
      </c>
      <c r="J765" t="b">
        <f t="shared" si="82"/>
        <v>0</v>
      </c>
      <c r="K765">
        <f t="shared" si="83"/>
        <v>10153</v>
      </c>
    </row>
    <row r="766" spans="1:11" x14ac:dyDescent="0.3">
      <c r="A766" s="1">
        <v>42402</v>
      </c>
      <c r="B766">
        <v>278116.36930000002</v>
      </c>
      <c r="C766">
        <v>295645.62910000002</v>
      </c>
      <c r="D766">
        <v>8116</v>
      </c>
      <c r="E766">
        <f t="shared" si="77"/>
        <v>34.267665019714144</v>
      </c>
      <c r="F766">
        <f t="shared" si="78"/>
        <v>-17529.2598</v>
      </c>
      <c r="G766">
        <f t="shared" si="79"/>
        <v>-6.3028507973550613E-2</v>
      </c>
      <c r="H766">
        <f t="shared" si="80"/>
        <v>-2.1598397979300188</v>
      </c>
      <c r="I766">
        <f t="shared" si="81"/>
        <v>36.427504817644163</v>
      </c>
      <c r="J766" t="b">
        <f t="shared" si="82"/>
        <v>0</v>
      </c>
      <c r="K766">
        <f t="shared" si="83"/>
        <v>8116</v>
      </c>
    </row>
    <row r="767" spans="1:11" x14ac:dyDescent="0.3">
      <c r="A767" s="1">
        <v>42431</v>
      </c>
      <c r="B767">
        <v>264159.30060000002</v>
      </c>
      <c r="C767">
        <v>280392.27360000001</v>
      </c>
      <c r="D767">
        <v>7712</v>
      </c>
      <c r="E767">
        <f t="shared" si="77"/>
        <v>34.253021343360999</v>
      </c>
      <c r="F767">
        <f t="shared" si="78"/>
        <v>-16232.972999999998</v>
      </c>
      <c r="G767">
        <f t="shared" si="79"/>
        <v>-6.1451453585503614E-2</v>
      </c>
      <c r="H767">
        <f t="shared" si="80"/>
        <v>-2.1048979512448156</v>
      </c>
      <c r="I767">
        <f t="shared" si="81"/>
        <v>36.357919294605814</v>
      </c>
      <c r="J767" t="b">
        <f t="shared" si="82"/>
        <v>0</v>
      </c>
      <c r="K767">
        <f t="shared" si="83"/>
        <v>7712</v>
      </c>
    </row>
    <row r="768" spans="1:11" x14ac:dyDescent="0.3">
      <c r="A768" s="1">
        <v>42462</v>
      </c>
      <c r="B768">
        <v>197778.13370000001</v>
      </c>
      <c r="C768">
        <v>209372.2922</v>
      </c>
      <c r="D768">
        <v>5759</v>
      </c>
      <c r="E768">
        <f t="shared" si="77"/>
        <v>34.342443774960934</v>
      </c>
      <c r="F768">
        <f t="shared" si="78"/>
        <v>-11594.15849999999</v>
      </c>
      <c r="G768">
        <f t="shared" si="79"/>
        <v>-5.8622044222475085E-2</v>
      </c>
      <c r="H768">
        <f t="shared" si="80"/>
        <v>-2.0132242576836248</v>
      </c>
      <c r="I768">
        <f t="shared" si="81"/>
        <v>36.355668032644559</v>
      </c>
      <c r="J768" t="b">
        <f t="shared" si="82"/>
        <v>0</v>
      </c>
      <c r="K768">
        <f t="shared" si="83"/>
        <v>5759</v>
      </c>
    </row>
    <row r="769" spans="1:11" x14ac:dyDescent="0.3">
      <c r="A769" s="1">
        <v>42492</v>
      </c>
      <c r="B769">
        <v>325749.00890000002</v>
      </c>
      <c r="C769">
        <v>345287.81150000001</v>
      </c>
      <c r="D769">
        <v>9501</v>
      </c>
      <c r="E769">
        <f t="shared" si="77"/>
        <v>34.285760330491527</v>
      </c>
      <c r="F769">
        <f t="shared" si="78"/>
        <v>-19538.802599999995</v>
      </c>
      <c r="G769">
        <f t="shared" si="79"/>
        <v>-5.9981157474520853E-2</v>
      </c>
      <c r="H769">
        <f t="shared" si="80"/>
        <v>-2.0564995895168963</v>
      </c>
      <c r="I769">
        <f t="shared" si="81"/>
        <v>36.342259920008424</v>
      </c>
      <c r="J769" t="b">
        <f t="shared" si="82"/>
        <v>0</v>
      </c>
      <c r="K769">
        <f t="shared" si="83"/>
        <v>9501</v>
      </c>
    </row>
    <row r="770" spans="1:11" x14ac:dyDescent="0.3">
      <c r="A770" s="1">
        <v>42523</v>
      </c>
      <c r="B770">
        <v>371561.97639999999</v>
      </c>
      <c r="C770">
        <v>393884.43300000002</v>
      </c>
      <c r="D770">
        <v>10840</v>
      </c>
      <c r="E770">
        <f t="shared" si="77"/>
        <v>34.276935092250923</v>
      </c>
      <c r="F770">
        <f t="shared" si="78"/>
        <v>-22322.456600000034</v>
      </c>
      <c r="G770">
        <f t="shared" si="79"/>
        <v>-6.0077343802179307E-2</v>
      </c>
      <c r="H770">
        <f t="shared" si="80"/>
        <v>-2.0592672140221424</v>
      </c>
      <c r="I770">
        <f t="shared" si="81"/>
        <v>36.336202306273066</v>
      </c>
      <c r="J770" t="b">
        <f t="shared" si="82"/>
        <v>0</v>
      </c>
      <c r="K770">
        <f t="shared" si="83"/>
        <v>10840</v>
      </c>
    </row>
    <row r="771" spans="1:11" x14ac:dyDescent="0.3">
      <c r="A771" s="1">
        <v>42553</v>
      </c>
      <c r="B771">
        <v>174581.67679999999</v>
      </c>
      <c r="C771">
        <v>185040.8173</v>
      </c>
      <c r="D771">
        <v>5089</v>
      </c>
      <c r="E771">
        <f t="shared" ref="E771:E834" si="84">B771/D771</f>
        <v>34.305694006681072</v>
      </c>
      <c r="F771">
        <f t="shared" ref="F771:F834" si="85">B771-C771</f>
        <v>-10459.140500000009</v>
      </c>
      <c r="G771">
        <f t="shared" ref="G771:H834" si="86">F771/B771</f>
        <v>-5.9909726448451717E-2</v>
      </c>
      <c r="H771">
        <f t="shared" ref="H771:H834" si="87">E771-I771</f>
        <v>-2.0552447435645576</v>
      </c>
      <c r="I771">
        <f t="shared" ref="I771:I834" si="88">C771/D771</f>
        <v>36.36093875024563</v>
      </c>
      <c r="J771" t="b">
        <f t="shared" ref="J771:J834" si="89">H771&gt;0</f>
        <v>0</v>
      </c>
      <c r="K771">
        <f t="shared" ref="K771:K834" si="90">D771</f>
        <v>5089</v>
      </c>
    </row>
    <row r="772" spans="1:11" x14ac:dyDescent="0.3">
      <c r="A772" s="1">
        <v>42584</v>
      </c>
      <c r="B772">
        <v>208489.3694</v>
      </c>
      <c r="C772">
        <v>221372.83689999999</v>
      </c>
      <c r="D772">
        <v>6087</v>
      </c>
      <c r="E772">
        <f t="shared" si="84"/>
        <v>34.251580318712008</v>
      </c>
      <c r="F772">
        <f t="shared" si="85"/>
        <v>-12883.467499999999</v>
      </c>
      <c r="G772">
        <f t="shared" si="86"/>
        <v>-6.1794361684131022E-2</v>
      </c>
      <c r="H772">
        <f t="shared" si="87"/>
        <v>-2.1165545424675543</v>
      </c>
      <c r="I772">
        <f t="shared" si="88"/>
        <v>36.368134861179563</v>
      </c>
      <c r="J772" t="b">
        <f t="shared" si="89"/>
        <v>0</v>
      </c>
      <c r="K772">
        <f t="shared" si="90"/>
        <v>6087</v>
      </c>
    </row>
    <row r="773" spans="1:11" x14ac:dyDescent="0.3">
      <c r="A773" s="1">
        <v>42615</v>
      </c>
      <c r="B773">
        <v>84495.166670000006</v>
      </c>
      <c r="C773">
        <v>74682.266820000004</v>
      </c>
      <c r="D773">
        <v>2053</v>
      </c>
      <c r="E773">
        <f t="shared" si="84"/>
        <v>41.156924827082321</v>
      </c>
      <c r="F773">
        <f t="shared" si="85"/>
        <v>9812.8998500000016</v>
      </c>
      <c r="G773">
        <f t="shared" si="86"/>
        <v>0.11613563516981699</v>
      </c>
      <c r="H773">
        <f t="shared" si="87"/>
        <v>4.7797856064296127</v>
      </c>
      <c r="I773">
        <f t="shared" si="88"/>
        <v>36.377139220652708</v>
      </c>
      <c r="J773" t="b">
        <f t="shared" si="89"/>
        <v>1</v>
      </c>
      <c r="K773">
        <f t="shared" si="90"/>
        <v>2053</v>
      </c>
    </row>
    <row r="774" spans="1:11" x14ac:dyDescent="0.3">
      <c r="A774" s="1">
        <v>42645</v>
      </c>
      <c r="B774">
        <v>76661.250029999996</v>
      </c>
      <c r="C774">
        <v>66379.563599999994</v>
      </c>
      <c r="D774">
        <v>1825</v>
      </c>
      <c r="E774">
        <f t="shared" si="84"/>
        <v>42.006164399999996</v>
      </c>
      <c r="F774">
        <f t="shared" si="85"/>
        <v>10281.686430000002</v>
      </c>
      <c r="G774">
        <f t="shared" si="86"/>
        <v>0.13411842914088212</v>
      </c>
      <c r="H774">
        <f t="shared" si="87"/>
        <v>5.6338007835616395</v>
      </c>
      <c r="I774">
        <f t="shared" si="88"/>
        <v>36.372363616438356</v>
      </c>
      <c r="J774" t="b">
        <f t="shared" si="89"/>
        <v>1</v>
      </c>
      <c r="K774">
        <f t="shared" si="90"/>
        <v>1825</v>
      </c>
    </row>
    <row r="775" spans="1:11" x14ac:dyDescent="0.3">
      <c r="A775" s="1">
        <v>42676</v>
      </c>
      <c r="B775">
        <v>64034.940459999998</v>
      </c>
      <c r="C775">
        <v>55491.338530000001</v>
      </c>
      <c r="D775">
        <v>1525</v>
      </c>
      <c r="E775">
        <f t="shared" si="84"/>
        <v>41.990124891803276</v>
      </c>
      <c r="F775">
        <f t="shared" si="85"/>
        <v>8543.6019299999971</v>
      </c>
      <c r="G775">
        <f t="shared" si="86"/>
        <v>0.13342093970301783</v>
      </c>
      <c r="H775">
        <f t="shared" si="87"/>
        <v>5.6023619213114699</v>
      </c>
      <c r="I775">
        <f t="shared" si="88"/>
        <v>36.387762970491806</v>
      </c>
      <c r="J775" t="b">
        <f t="shared" si="89"/>
        <v>1</v>
      </c>
      <c r="K775">
        <f t="shared" si="90"/>
        <v>1525</v>
      </c>
    </row>
    <row r="776" spans="1:11" x14ac:dyDescent="0.3">
      <c r="A776" s="1">
        <v>42706</v>
      </c>
      <c r="B776">
        <v>148839.9749</v>
      </c>
      <c r="C776">
        <v>129583.4921</v>
      </c>
      <c r="D776">
        <v>3542</v>
      </c>
      <c r="E776">
        <f t="shared" si="84"/>
        <v>42.021449717673633</v>
      </c>
      <c r="F776">
        <f t="shared" si="85"/>
        <v>19256.482799999998</v>
      </c>
      <c r="G776">
        <f t="shared" si="86"/>
        <v>0.12937708981029933</v>
      </c>
      <c r="H776">
        <f t="shared" si="87"/>
        <v>5.4366128740824422</v>
      </c>
      <c r="I776">
        <f t="shared" si="88"/>
        <v>36.584836843591191</v>
      </c>
      <c r="J776" t="b">
        <f t="shared" si="89"/>
        <v>1</v>
      </c>
      <c r="K776">
        <f t="shared" si="90"/>
        <v>3542</v>
      </c>
    </row>
    <row r="777" spans="1:11" x14ac:dyDescent="0.3">
      <c r="A777" t="s">
        <v>467</v>
      </c>
      <c r="B777">
        <v>172541.5079</v>
      </c>
      <c r="C777">
        <v>150538.98370000001</v>
      </c>
      <c r="D777">
        <v>4105</v>
      </c>
      <c r="E777">
        <f t="shared" si="84"/>
        <v>42.032036029232643</v>
      </c>
      <c r="F777">
        <f t="shared" si="85"/>
        <v>22002.524199999985</v>
      </c>
      <c r="G777">
        <f t="shared" si="86"/>
        <v>0.12752018031946263</v>
      </c>
      <c r="H777">
        <f t="shared" si="87"/>
        <v>5.3599328136418976</v>
      </c>
      <c r="I777">
        <f t="shared" si="88"/>
        <v>36.672103215590745</v>
      </c>
      <c r="J777" t="b">
        <f t="shared" si="89"/>
        <v>1</v>
      </c>
      <c r="K777">
        <f t="shared" si="90"/>
        <v>4105</v>
      </c>
    </row>
    <row r="778" spans="1:11" x14ac:dyDescent="0.3">
      <c r="A778" t="s">
        <v>468</v>
      </c>
      <c r="B778">
        <v>87991.663</v>
      </c>
      <c r="C778">
        <v>76378.504639999999</v>
      </c>
      <c r="D778">
        <v>2094</v>
      </c>
      <c r="E778">
        <f t="shared" si="84"/>
        <v>42.020851480420248</v>
      </c>
      <c r="F778">
        <f t="shared" si="85"/>
        <v>11613.158360000001</v>
      </c>
      <c r="G778">
        <f t="shared" si="86"/>
        <v>0.13198021226170031</v>
      </c>
      <c r="H778">
        <f t="shared" si="87"/>
        <v>5.5459208978032493</v>
      </c>
      <c r="I778">
        <f t="shared" si="88"/>
        <v>36.474930582616999</v>
      </c>
      <c r="J778" t="b">
        <f t="shared" si="89"/>
        <v>1</v>
      </c>
      <c r="K778">
        <f t="shared" si="90"/>
        <v>2094</v>
      </c>
    </row>
    <row r="779" spans="1:11" x14ac:dyDescent="0.3">
      <c r="A779" t="s">
        <v>469</v>
      </c>
      <c r="B779">
        <v>123445.38159999999</v>
      </c>
      <c r="C779">
        <v>108669.2254</v>
      </c>
      <c r="D779">
        <v>2940</v>
      </c>
      <c r="E779">
        <f t="shared" si="84"/>
        <v>41.988225034013603</v>
      </c>
      <c r="F779">
        <f t="shared" si="85"/>
        <v>14776.156199999998</v>
      </c>
      <c r="G779">
        <f t="shared" si="86"/>
        <v>0.11969792639046772</v>
      </c>
      <c r="H779">
        <f t="shared" si="87"/>
        <v>5.0259034693877567</v>
      </c>
      <c r="I779">
        <f t="shared" si="88"/>
        <v>36.962321564625846</v>
      </c>
      <c r="J779" t="b">
        <f t="shared" si="89"/>
        <v>1</v>
      </c>
      <c r="K779">
        <f t="shared" si="90"/>
        <v>2940</v>
      </c>
    </row>
    <row r="780" spans="1:11" x14ac:dyDescent="0.3">
      <c r="A780" t="s">
        <v>470</v>
      </c>
      <c r="B780">
        <v>77344.691869999995</v>
      </c>
      <c r="C780">
        <v>68269.24884</v>
      </c>
      <c r="D780">
        <v>1841</v>
      </c>
      <c r="E780">
        <f t="shared" si="84"/>
        <v>42.012325839217816</v>
      </c>
      <c r="F780">
        <f t="shared" si="85"/>
        <v>9075.4430299999949</v>
      </c>
      <c r="G780">
        <f t="shared" si="86"/>
        <v>0.11733763249395172</v>
      </c>
      <c r="H780">
        <f t="shared" si="87"/>
        <v>4.9296268495382947</v>
      </c>
      <c r="I780">
        <f t="shared" si="88"/>
        <v>37.082698989679521</v>
      </c>
      <c r="J780" t="b">
        <f t="shared" si="89"/>
        <v>1</v>
      </c>
      <c r="K780">
        <f t="shared" si="90"/>
        <v>1841</v>
      </c>
    </row>
    <row r="781" spans="1:11" x14ac:dyDescent="0.3">
      <c r="A781" t="s">
        <v>471</v>
      </c>
      <c r="B781">
        <v>158963.02489999999</v>
      </c>
      <c r="C781">
        <v>167521.52590000001</v>
      </c>
      <c r="D781">
        <v>4529</v>
      </c>
      <c r="E781">
        <f t="shared" si="84"/>
        <v>35.098923581364538</v>
      </c>
      <c r="F781">
        <f t="shared" si="85"/>
        <v>-8558.5010000000184</v>
      </c>
      <c r="G781">
        <f t="shared" si="86"/>
        <v>-5.383957058809101E-2</v>
      </c>
      <c r="H781">
        <f t="shared" si="87"/>
        <v>-1.8897109737248883</v>
      </c>
      <c r="I781">
        <f t="shared" si="88"/>
        <v>36.988634555089426</v>
      </c>
      <c r="J781" t="b">
        <f t="shared" si="89"/>
        <v>0</v>
      </c>
      <c r="K781">
        <f t="shared" si="90"/>
        <v>4529</v>
      </c>
    </row>
    <row r="782" spans="1:11" x14ac:dyDescent="0.3">
      <c r="A782" t="s">
        <v>472</v>
      </c>
      <c r="B782">
        <v>69598.071150000003</v>
      </c>
      <c r="C782">
        <v>61492.968309999997</v>
      </c>
      <c r="D782">
        <v>1658</v>
      </c>
      <c r="E782">
        <f t="shared" si="84"/>
        <v>41.977123733413755</v>
      </c>
      <c r="F782">
        <f t="shared" si="85"/>
        <v>8105.1028400000068</v>
      </c>
      <c r="G782">
        <f t="shared" si="86"/>
        <v>0.11645585439475224</v>
      </c>
      <c r="H782">
        <f t="shared" si="87"/>
        <v>4.8884818094089297</v>
      </c>
      <c r="I782">
        <f t="shared" si="88"/>
        <v>37.088641924004826</v>
      </c>
      <c r="J782" t="b">
        <f t="shared" si="89"/>
        <v>1</v>
      </c>
      <c r="K782">
        <f t="shared" si="90"/>
        <v>1658</v>
      </c>
    </row>
    <row r="783" spans="1:11" x14ac:dyDescent="0.3">
      <c r="A783" t="s">
        <v>473</v>
      </c>
      <c r="B783">
        <v>161275.60219999999</v>
      </c>
      <c r="C783">
        <v>143446.35829999999</v>
      </c>
      <c r="D783">
        <v>3841</v>
      </c>
      <c r="E783">
        <f t="shared" si="84"/>
        <v>41.987920385316322</v>
      </c>
      <c r="F783">
        <f t="shared" si="85"/>
        <v>17829.243900000001</v>
      </c>
      <c r="G783">
        <f t="shared" si="86"/>
        <v>0.11055140180403557</v>
      </c>
      <c r="H783">
        <f t="shared" si="87"/>
        <v>4.6418234574329631</v>
      </c>
      <c r="I783">
        <f t="shared" si="88"/>
        <v>37.346096927883359</v>
      </c>
      <c r="J783" t="b">
        <f t="shared" si="89"/>
        <v>1</v>
      </c>
      <c r="K783">
        <f t="shared" si="90"/>
        <v>3841</v>
      </c>
    </row>
    <row r="784" spans="1:11" x14ac:dyDescent="0.3">
      <c r="A784" t="s">
        <v>474</v>
      </c>
      <c r="B784">
        <v>325215.07679999998</v>
      </c>
      <c r="C784">
        <v>345446.00180000003</v>
      </c>
      <c r="D784">
        <v>9260</v>
      </c>
      <c r="E784">
        <f t="shared" si="84"/>
        <v>35.120418660907127</v>
      </c>
      <c r="F784">
        <f t="shared" si="85"/>
        <v>-20230.925000000047</v>
      </c>
      <c r="G784">
        <f t="shared" si="86"/>
        <v>-6.2207832426052052E-2</v>
      </c>
      <c r="H784">
        <f t="shared" si="87"/>
        <v>-2.1847651187905015</v>
      </c>
      <c r="I784">
        <f t="shared" si="88"/>
        <v>37.305183779697629</v>
      </c>
      <c r="J784" t="b">
        <f t="shared" si="89"/>
        <v>0</v>
      </c>
      <c r="K784">
        <f t="shared" si="90"/>
        <v>9260</v>
      </c>
    </row>
    <row r="785" spans="1:11" x14ac:dyDescent="0.3">
      <c r="A785" t="s">
        <v>475</v>
      </c>
      <c r="B785">
        <v>96957.295840000006</v>
      </c>
      <c r="C785">
        <v>86455.494380000004</v>
      </c>
      <c r="D785">
        <v>2308</v>
      </c>
      <c r="E785">
        <f t="shared" si="84"/>
        <v>42.009226967071058</v>
      </c>
      <c r="F785">
        <f t="shared" si="85"/>
        <v>10501.801460000002</v>
      </c>
      <c r="G785">
        <f t="shared" si="86"/>
        <v>0.10831367942986148</v>
      </c>
      <c r="H785">
        <f t="shared" si="87"/>
        <v>4.5501739428076249</v>
      </c>
      <c r="I785">
        <f t="shared" si="88"/>
        <v>37.459053024263433</v>
      </c>
      <c r="J785" t="b">
        <f t="shared" si="89"/>
        <v>1</v>
      </c>
      <c r="K785">
        <f t="shared" si="90"/>
        <v>2308</v>
      </c>
    </row>
    <row r="786" spans="1:11" x14ac:dyDescent="0.3">
      <c r="A786" t="s">
        <v>476</v>
      </c>
      <c r="B786">
        <v>85224.47709</v>
      </c>
      <c r="C786">
        <v>75960.71802</v>
      </c>
      <c r="D786">
        <v>2028</v>
      </c>
      <c r="E786">
        <f t="shared" si="84"/>
        <v>42.023903890532544</v>
      </c>
      <c r="F786">
        <f t="shared" si="85"/>
        <v>9263.7590700000001</v>
      </c>
      <c r="G786">
        <f t="shared" si="86"/>
        <v>0.10869833862655619</v>
      </c>
      <c r="H786">
        <f t="shared" si="87"/>
        <v>4.5679285355029577</v>
      </c>
      <c r="I786">
        <f t="shared" si="88"/>
        <v>37.455975355029587</v>
      </c>
      <c r="J786" t="b">
        <f t="shared" si="89"/>
        <v>1</v>
      </c>
      <c r="K786">
        <f t="shared" si="90"/>
        <v>2028</v>
      </c>
    </row>
    <row r="787" spans="1:11" x14ac:dyDescent="0.3">
      <c r="A787" t="s">
        <v>477</v>
      </c>
      <c r="B787">
        <v>54612.878839999998</v>
      </c>
      <c r="C787">
        <v>49071.802539999997</v>
      </c>
      <c r="D787">
        <v>1301</v>
      </c>
      <c r="E787">
        <f t="shared" si="84"/>
        <v>41.977616325903149</v>
      </c>
      <c r="F787">
        <f t="shared" si="85"/>
        <v>5541.0763000000006</v>
      </c>
      <c r="G787">
        <f t="shared" si="86"/>
        <v>0.10146098168957103</v>
      </c>
      <c r="H787">
        <f t="shared" si="87"/>
        <v>4.2590901614142993</v>
      </c>
      <c r="I787">
        <f t="shared" si="88"/>
        <v>37.71852616448885</v>
      </c>
      <c r="J787" t="b">
        <f t="shared" si="89"/>
        <v>1</v>
      </c>
      <c r="K787">
        <f t="shared" si="90"/>
        <v>1301</v>
      </c>
    </row>
    <row r="788" spans="1:11" x14ac:dyDescent="0.3">
      <c r="A788" t="s">
        <v>478</v>
      </c>
      <c r="B788">
        <v>81530.612380000006</v>
      </c>
      <c r="C788">
        <v>81738.05644</v>
      </c>
      <c r="D788">
        <v>2213</v>
      </c>
      <c r="E788">
        <f t="shared" si="84"/>
        <v>36.841668495255313</v>
      </c>
      <c r="F788">
        <f t="shared" si="85"/>
        <v>-207.44405999999435</v>
      </c>
      <c r="G788">
        <f t="shared" si="86"/>
        <v>-2.5443701935309116E-3</v>
      </c>
      <c r="H788">
        <f t="shared" si="87"/>
        <v>-9.3738843199275834E-2</v>
      </c>
      <c r="I788">
        <f t="shared" si="88"/>
        <v>36.935407338454588</v>
      </c>
      <c r="J788" t="b">
        <f t="shared" si="89"/>
        <v>0</v>
      </c>
      <c r="K788">
        <f t="shared" si="90"/>
        <v>2213</v>
      </c>
    </row>
    <row r="789" spans="1:11" x14ac:dyDescent="0.3">
      <c r="A789" t="s">
        <v>479</v>
      </c>
      <c r="B789">
        <v>160947.53260000001</v>
      </c>
      <c r="C789">
        <v>162597.49679999999</v>
      </c>
      <c r="D789">
        <v>4404</v>
      </c>
      <c r="E789">
        <f t="shared" si="84"/>
        <v>36.545761262488647</v>
      </c>
      <c r="F789">
        <f t="shared" si="85"/>
        <v>-1649.9641999999876</v>
      </c>
      <c r="G789">
        <f t="shared" si="86"/>
        <v>-1.0251565670786727E-2</v>
      </c>
      <c r="H789">
        <f t="shared" si="87"/>
        <v>-0.3746512715712953</v>
      </c>
      <c r="I789">
        <f t="shared" si="88"/>
        <v>36.920412534059942</v>
      </c>
      <c r="J789" t="b">
        <f t="shared" si="89"/>
        <v>0</v>
      </c>
      <c r="K789">
        <f t="shared" si="90"/>
        <v>4404</v>
      </c>
    </row>
    <row r="790" spans="1:11" x14ac:dyDescent="0.3">
      <c r="A790" t="s">
        <v>480</v>
      </c>
      <c r="B790">
        <v>188736.24739999999</v>
      </c>
      <c r="C790">
        <v>183103.23370000001</v>
      </c>
      <c r="D790">
        <v>4935</v>
      </c>
      <c r="E790">
        <f t="shared" si="84"/>
        <v>38.244427031408307</v>
      </c>
      <c r="F790">
        <f t="shared" si="85"/>
        <v>5633.0136999999813</v>
      </c>
      <c r="G790">
        <f t="shared" si="86"/>
        <v>2.984595581187751E-2</v>
      </c>
      <c r="H790">
        <f t="shared" si="87"/>
        <v>1.1414414792299894</v>
      </c>
      <c r="I790">
        <f t="shared" si="88"/>
        <v>37.102985552178318</v>
      </c>
      <c r="J790" t="b">
        <f t="shared" si="89"/>
        <v>1</v>
      </c>
      <c r="K790">
        <f t="shared" si="90"/>
        <v>4935</v>
      </c>
    </row>
    <row r="791" spans="1:11" x14ac:dyDescent="0.3">
      <c r="A791" t="s">
        <v>481</v>
      </c>
      <c r="B791">
        <v>215951.5079</v>
      </c>
      <c r="C791">
        <v>210032.78810000001</v>
      </c>
      <c r="D791">
        <v>5609</v>
      </c>
      <c r="E791">
        <f t="shared" si="84"/>
        <v>38.500892832947052</v>
      </c>
      <c r="F791">
        <f t="shared" si="85"/>
        <v>5918.7197999999917</v>
      </c>
      <c r="G791">
        <f t="shared" si="86"/>
        <v>2.7407633581983393E-2</v>
      </c>
      <c r="H791">
        <f t="shared" si="87"/>
        <v>1.055218363344629</v>
      </c>
      <c r="I791">
        <f t="shared" si="88"/>
        <v>37.445674469602423</v>
      </c>
      <c r="J791" t="b">
        <f t="shared" si="89"/>
        <v>1</v>
      </c>
      <c r="K791">
        <f t="shared" si="90"/>
        <v>5609</v>
      </c>
    </row>
    <row r="792" spans="1:11" x14ac:dyDescent="0.3">
      <c r="A792" t="s">
        <v>482</v>
      </c>
      <c r="B792">
        <v>134995.85449999999</v>
      </c>
      <c r="C792">
        <v>129938.7058</v>
      </c>
      <c r="D792">
        <v>3452</v>
      </c>
      <c r="E792">
        <f t="shared" si="84"/>
        <v>39.106562717265348</v>
      </c>
      <c r="F792">
        <f t="shared" si="85"/>
        <v>5057.1486999999906</v>
      </c>
      <c r="G792">
        <f t="shared" si="86"/>
        <v>3.7461511086623711E-2</v>
      </c>
      <c r="H792">
        <f t="shared" si="87"/>
        <v>1.4649909327925812</v>
      </c>
      <c r="I792">
        <f t="shared" si="88"/>
        <v>37.641571784472767</v>
      </c>
      <c r="J792" t="b">
        <f t="shared" si="89"/>
        <v>1</v>
      </c>
      <c r="K792">
        <f t="shared" si="90"/>
        <v>3452</v>
      </c>
    </row>
    <row r="793" spans="1:11" x14ac:dyDescent="0.3">
      <c r="A793" t="s">
        <v>483</v>
      </c>
      <c r="B793">
        <v>163079.378</v>
      </c>
      <c r="C793">
        <v>160332.5894</v>
      </c>
      <c r="D793">
        <v>4270</v>
      </c>
      <c r="E793">
        <f t="shared" si="84"/>
        <v>38.191891803278686</v>
      </c>
      <c r="F793">
        <f t="shared" si="85"/>
        <v>2746.7885999999999</v>
      </c>
      <c r="G793">
        <f t="shared" si="86"/>
        <v>1.6843261445355771E-2</v>
      </c>
      <c r="H793">
        <f t="shared" si="87"/>
        <v>0.64327601873536366</v>
      </c>
      <c r="I793">
        <f t="shared" si="88"/>
        <v>37.548615784543323</v>
      </c>
      <c r="J793" t="b">
        <f t="shared" si="89"/>
        <v>1</v>
      </c>
      <c r="K793">
        <f t="shared" si="90"/>
        <v>4270</v>
      </c>
    </row>
    <row r="794" spans="1:11" x14ac:dyDescent="0.3">
      <c r="A794" s="1">
        <v>42372</v>
      </c>
      <c r="B794">
        <v>180828.6741</v>
      </c>
      <c r="C794">
        <v>182962.337</v>
      </c>
      <c r="D794">
        <v>4719</v>
      </c>
      <c r="E794">
        <f t="shared" si="84"/>
        <v>38.319278258105534</v>
      </c>
      <c r="F794">
        <f t="shared" si="85"/>
        <v>-2133.6628999999957</v>
      </c>
      <c r="G794">
        <f t="shared" si="86"/>
        <v>-1.1799361526148555E-2</v>
      </c>
      <c r="H794">
        <f t="shared" si="87"/>
        <v>-0.45214301758846887</v>
      </c>
      <c r="I794">
        <f t="shared" si="88"/>
        <v>38.771421275694003</v>
      </c>
      <c r="J794" t="b">
        <f t="shared" si="89"/>
        <v>0</v>
      </c>
      <c r="K794">
        <f t="shared" si="90"/>
        <v>4719</v>
      </c>
    </row>
    <row r="795" spans="1:11" x14ac:dyDescent="0.3">
      <c r="A795" s="1">
        <v>42403</v>
      </c>
      <c r="B795">
        <v>171196.1752</v>
      </c>
      <c r="C795">
        <v>174428.68090000001</v>
      </c>
      <c r="D795">
        <v>4451</v>
      </c>
      <c r="E795">
        <f t="shared" si="84"/>
        <v>38.462407369130531</v>
      </c>
      <c r="F795">
        <f t="shared" si="85"/>
        <v>-3232.5057000000088</v>
      </c>
      <c r="G795">
        <f t="shared" si="86"/>
        <v>-1.888188037042085E-2</v>
      </c>
      <c r="H795">
        <f t="shared" si="87"/>
        <v>-0.72624257470231868</v>
      </c>
      <c r="I795">
        <f t="shared" si="88"/>
        <v>39.18864994383285</v>
      </c>
      <c r="J795" t="b">
        <f t="shared" si="89"/>
        <v>0</v>
      </c>
      <c r="K795">
        <f t="shared" si="90"/>
        <v>4451</v>
      </c>
    </row>
    <row r="796" spans="1:11" x14ac:dyDescent="0.3">
      <c r="A796" s="1">
        <v>42432</v>
      </c>
      <c r="B796">
        <v>129719.0505</v>
      </c>
      <c r="C796">
        <v>131961.9325</v>
      </c>
      <c r="D796">
        <v>3364</v>
      </c>
      <c r="E796">
        <f t="shared" si="84"/>
        <v>38.560954369797862</v>
      </c>
      <c r="F796">
        <f t="shared" si="85"/>
        <v>-2242.8819999999978</v>
      </c>
      <c r="G796">
        <f t="shared" si="86"/>
        <v>-1.7290305405064599E-2</v>
      </c>
      <c r="H796">
        <f t="shared" si="87"/>
        <v>-0.66673067776456207</v>
      </c>
      <c r="I796">
        <f t="shared" si="88"/>
        <v>39.227685047562424</v>
      </c>
      <c r="J796" t="b">
        <f t="shared" si="89"/>
        <v>0</v>
      </c>
      <c r="K796">
        <f t="shared" si="90"/>
        <v>3364</v>
      </c>
    </row>
    <row r="797" spans="1:11" x14ac:dyDescent="0.3">
      <c r="A797" s="1">
        <v>42463</v>
      </c>
      <c r="B797">
        <v>142127.6421</v>
      </c>
      <c r="C797">
        <v>144039.4137</v>
      </c>
      <c r="D797">
        <v>3665</v>
      </c>
      <c r="E797">
        <f t="shared" si="84"/>
        <v>38.779711350613915</v>
      </c>
      <c r="F797">
        <f t="shared" si="85"/>
        <v>-1911.7716000000073</v>
      </c>
      <c r="G797">
        <f t="shared" si="86"/>
        <v>-1.3451089258589814E-2</v>
      </c>
      <c r="H797">
        <f t="shared" si="87"/>
        <v>-0.52162935879945849</v>
      </c>
      <c r="I797">
        <f t="shared" si="88"/>
        <v>39.301340709413374</v>
      </c>
      <c r="J797" t="b">
        <f t="shared" si="89"/>
        <v>0</v>
      </c>
      <c r="K797">
        <f t="shared" si="90"/>
        <v>3665</v>
      </c>
    </row>
    <row r="798" spans="1:11" x14ac:dyDescent="0.3">
      <c r="A798" s="1">
        <v>42493</v>
      </c>
      <c r="B798">
        <v>152124.40789999999</v>
      </c>
      <c r="C798">
        <v>153377.51199999999</v>
      </c>
      <c r="D798">
        <v>3889</v>
      </c>
      <c r="E798">
        <f t="shared" si="84"/>
        <v>39.116587271792234</v>
      </c>
      <c r="F798">
        <f t="shared" si="85"/>
        <v>-1253.1040999999968</v>
      </c>
      <c r="G798">
        <f t="shared" si="86"/>
        <v>-8.2373638609244959E-3</v>
      </c>
      <c r="H798">
        <f t="shared" si="87"/>
        <v>-0.32221756235535537</v>
      </c>
      <c r="I798">
        <f t="shared" si="88"/>
        <v>39.438804834147589</v>
      </c>
      <c r="J798" t="b">
        <f t="shared" si="89"/>
        <v>0</v>
      </c>
      <c r="K798">
        <f t="shared" si="90"/>
        <v>3889</v>
      </c>
    </row>
    <row r="799" spans="1:11" x14ac:dyDescent="0.3">
      <c r="A799" s="1">
        <v>42524</v>
      </c>
      <c r="B799">
        <v>74132.787020000003</v>
      </c>
      <c r="C799">
        <v>74332.279479999997</v>
      </c>
      <c r="D799">
        <v>1882</v>
      </c>
      <c r="E799">
        <f t="shared" si="84"/>
        <v>39.390428809776836</v>
      </c>
      <c r="F799">
        <f t="shared" si="85"/>
        <v>-199.49245999999403</v>
      </c>
      <c r="G799">
        <f t="shared" si="86"/>
        <v>-2.6910152446605537E-3</v>
      </c>
      <c r="H799">
        <f t="shared" si="87"/>
        <v>-0.10600024442082656</v>
      </c>
      <c r="I799">
        <f t="shared" si="88"/>
        <v>39.496429054197662</v>
      </c>
      <c r="J799" t="b">
        <f t="shared" si="89"/>
        <v>0</v>
      </c>
      <c r="K799">
        <f t="shared" si="90"/>
        <v>1882</v>
      </c>
    </row>
    <row r="800" spans="1:11" x14ac:dyDescent="0.3">
      <c r="A800" s="1">
        <v>42554</v>
      </c>
      <c r="B800">
        <v>91143.028609999994</v>
      </c>
      <c r="C800">
        <v>95167.528730000005</v>
      </c>
      <c r="D800">
        <v>2405</v>
      </c>
      <c r="E800">
        <f t="shared" si="84"/>
        <v>37.897309193347191</v>
      </c>
      <c r="F800">
        <f t="shared" si="85"/>
        <v>-4024.5001200000115</v>
      </c>
      <c r="G800">
        <f t="shared" si="86"/>
        <v>-4.4155874358979254E-2</v>
      </c>
      <c r="H800">
        <f t="shared" si="87"/>
        <v>-1.6733888232848315</v>
      </c>
      <c r="I800">
        <f t="shared" si="88"/>
        <v>39.570698016632022</v>
      </c>
      <c r="J800" t="b">
        <f t="shared" si="89"/>
        <v>0</v>
      </c>
      <c r="K800">
        <f t="shared" si="90"/>
        <v>2405</v>
      </c>
    </row>
    <row r="801" spans="1:11" x14ac:dyDescent="0.3">
      <c r="A801" s="1">
        <v>42585</v>
      </c>
      <c r="B801">
        <v>60528.093359999999</v>
      </c>
      <c r="C801">
        <v>62342.881170000001</v>
      </c>
      <c r="D801">
        <v>1577</v>
      </c>
      <c r="E801">
        <f t="shared" si="84"/>
        <v>38.381796677235258</v>
      </c>
      <c r="F801">
        <f t="shared" si="85"/>
        <v>-1814.7878100000016</v>
      </c>
      <c r="G801">
        <f t="shared" si="86"/>
        <v>-2.9982570229104631E-2</v>
      </c>
      <c r="H801">
        <f t="shared" si="87"/>
        <v>-1.1507849143944213</v>
      </c>
      <c r="I801">
        <f t="shared" si="88"/>
        <v>39.532581591629679</v>
      </c>
      <c r="J801" t="b">
        <f t="shared" si="89"/>
        <v>0</v>
      </c>
      <c r="K801">
        <f t="shared" si="90"/>
        <v>1577</v>
      </c>
    </row>
    <row r="802" spans="1:11" x14ac:dyDescent="0.3">
      <c r="A802" s="1">
        <v>42616</v>
      </c>
      <c r="B802">
        <v>38340.599609999997</v>
      </c>
      <c r="C802">
        <v>35918.335149999999</v>
      </c>
      <c r="D802">
        <v>913</v>
      </c>
      <c r="E802">
        <f t="shared" si="84"/>
        <v>41.99408500547645</v>
      </c>
      <c r="F802">
        <f t="shared" si="85"/>
        <v>2422.2644599999985</v>
      </c>
      <c r="G802">
        <f t="shared" si="86"/>
        <v>6.3177532032342637E-2</v>
      </c>
      <c r="H802">
        <f t="shared" si="87"/>
        <v>2.653082650602407</v>
      </c>
      <c r="I802">
        <f t="shared" si="88"/>
        <v>39.341002354874043</v>
      </c>
      <c r="J802" t="b">
        <f t="shared" si="89"/>
        <v>1</v>
      </c>
      <c r="K802">
        <f t="shared" si="90"/>
        <v>913</v>
      </c>
    </row>
    <row r="803" spans="1:11" x14ac:dyDescent="0.3">
      <c r="A803" s="1">
        <v>42646</v>
      </c>
      <c r="B803">
        <v>37453.006179999997</v>
      </c>
      <c r="C803">
        <v>35108.200109999998</v>
      </c>
      <c r="D803">
        <v>892</v>
      </c>
      <c r="E803">
        <f t="shared" si="84"/>
        <v>41.987675089686093</v>
      </c>
      <c r="F803">
        <f t="shared" si="85"/>
        <v>2344.8060699999987</v>
      </c>
      <c r="G803">
        <f t="shared" si="86"/>
        <v>6.2606618510962983E-2</v>
      </c>
      <c r="H803">
        <f t="shared" si="87"/>
        <v>2.6287063565022351</v>
      </c>
      <c r="I803">
        <f t="shared" si="88"/>
        <v>39.358968733183858</v>
      </c>
      <c r="J803" t="b">
        <f t="shared" si="89"/>
        <v>1</v>
      </c>
      <c r="K803">
        <f t="shared" si="90"/>
        <v>892</v>
      </c>
    </row>
    <row r="804" spans="1:11" x14ac:dyDescent="0.3">
      <c r="A804" s="1">
        <v>42677</v>
      </c>
      <c r="B804">
        <v>77997.045010000002</v>
      </c>
      <c r="C804">
        <v>73051.675539999997</v>
      </c>
      <c r="D804">
        <v>1855</v>
      </c>
      <c r="E804">
        <f t="shared" si="84"/>
        <v>42.046924533692724</v>
      </c>
      <c r="F804">
        <f t="shared" si="85"/>
        <v>4945.3694700000051</v>
      </c>
      <c r="G804">
        <f t="shared" si="86"/>
        <v>6.3404574742106701E-2</v>
      </c>
      <c r="H804">
        <f t="shared" si="87"/>
        <v>2.6659673692722379</v>
      </c>
      <c r="I804">
        <f t="shared" si="88"/>
        <v>39.380957164420487</v>
      </c>
      <c r="J804" t="b">
        <f t="shared" si="89"/>
        <v>1</v>
      </c>
      <c r="K804">
        <f t="shared" si="90"/>
        <v>1855</v>
      </c>
    </row>
    <row r="805" spans="1:11" x14ac:dyDescent="0.3">
      <c r="A805" s="1">
        <v>42707</v>
      </c>
      <c r="B805">
        <v>79752.282680000004</v>
      </c>
      <c r="C805">
        <v>74962.816399999996</v>
      </c>
      <c r="D805">
        <v>1897</v>
      </c>
      <c r="E805">
        <f t="shared" si="84"/>
        <v>42.041266568265684</v>
      </c>
      <c r="F805">
        <f t="shared" si="85"/>
        <v>4789.4662800000078</v>
      </c>
      <c r="G805">
        <f t="shared" si="86"/>
        <v>6.0054284580384726E-2</v>
      </c>
      <c r="H805">
        <f t="shared" si="87"/>
        <v>2.5247581866104412</v>
      </c>
      <c r="I805">
        <f t="shared" si="88"/>
        <v>39.516508381655242</v>
      </c>
      <c r="J805" t="b">
        <f t="shared" si="89"/>
        <v>1</v>
      </c>
      <c r="K805">
        <f t="shared" si="90"/>
        <v>1897</v>
      </c>
    </row>
    <row r="806" spans="1:11" x14ac:dyDescent="0.3">
      <c r="A806" t="s">
        <v>484</v>
      </c>
      <c r="B806">
        <v>37155.588479999999</v>
      </c>
      <c r="C806">
        <v>34962.830499999996</v>
      </c>
      <c r="D806">
        <v>883</v>
      </c>
      <c r="E806">
        <f t="shared" si="84"/>
        <v>42.078809150622874</v>
      </c>
      <c r="F806">
        <f t="shared" si="85"/>
        <v>2192.7579800000021</v>
      </c>
      <c r="G806">
        <f t="shared" si="86"/>
        <v>5.901556319530004E-2</v>
      </c>
      <c r="H806">
        <f t="shared" si="87"/>
        <v>2.4833046206115554</v>
      </c>
      <c r="I806">
        <f t="shared" si="88"/>
        <v>39.595504530011318</v>
      </c>
      <c r="J806" t="b">
        <f t="shared" si="89"/>
        <v>1</v>
      </c>
      <c r="K806">
        <f t="shared" si="90"/>
        <v>883</v>
      </c>
    </row>
    <row r="807" spans="1:11" x14ac:dyDescent="0.3">
      <c r="A807" t="s">
        <v>485</v>
      </c>
      <c r="B807">
        <v>45046.513209999997</v>
      </c>
      <c r="C807">
        <v>42368.04535</v>
      </c>
      <c r="D807">
        <v>1071</v>
      </c>
      <c r="E807">
        <f t="shared" si="84"/>
        <v>42.060236423902893</v>
      </c>
      <c r="F807">
        <f t="shared" si="85"/>
        <v>2678.467859999997</v>
      </c>
      <c r="G807">
        <f t="shared" si="86"/>
        <v>5.9460048495060806E-2</v>
      </c>
      <c r="H807">
        <f t="shared" si="87"/>
        <v>2.5009036974789893</v>
      </c>
      <c r="I807">
        <f t="shared" si="88"/>
        <v>39.559332726423904</v>
      </c>
      <c r="J807" t="b">
        <f t="shared" si="89"/>
        <v>1</v>
      </c>
      <c r="K807">
        <f t="shared" si="90"/>
        <v>1071</v>
      </c>
    </row>
    <row r="808" spans="1:11" x14ac:dyDescent="0.3">
      <c r="A808" t="s">
        <v>486</v>
      </c>
      <c r="B808">
        <v>55489.332759999998</v>
      </c>
      <c r="C808">
        <v>52263.056989999997</v>
      </c>
      <c r="D808">
        <v>1320</v>
      </c>
      <c r="E808">
        <f t="shared" si="84"/>
        <v>42.0373733030303</v>
      </c>
      <c r="F808">
        <f t="shared" si="85"/>
        <v>3226.2757700000002</v>
      </c>
      <c r="G808">
        <f t="shared" si="86"/>
        <v>5.8142270045922977E-2</v>
      </c>
      <c r="H808">
        <f t="shared" si="87"/>
        <v>2.4441483106060602</v>
      </c>
      <c r="I808">
        <f t="shared" si="88"/>
        <v>39.59322499242424</v>
      </c>
      <c r="J808" t="b">
        <f t="shared" si="89"/>
        <v>1</v>
      </c>
      <c r="K808">
        <f t="shared" si="90"/>
        <v>1320</v>
      </c>
    </row>
    <row r="809" spans="1:11" x14ac:dyDescent="0.3">
      <c r="A809" t="s">
        <v>487</v>
      </c>
      <c r="B809">
        <v>41893.303160000003</v>
      </c>
      <c r="C809">
        <v>39495.455900000001</v>
      </c>
      <c r="D809">
        <v>997</v>
      </c>
      <c r="E809">
        <f t="shared" si="84"/>
        <v>42.019361243731197</v>
      </c>
      <c r="F809">
        <f t="shared" si="85"/>
        <v>2397.8472600000023</v>
      </c>
      <c r="G809">
        <f t="shared" si="86"/>
        <v>5.7237006374075618E-2</v>
      </c>
      <c r="H809">
        <f t="shared" si="87"/>
        <v>2.4050624473420257</v>
      </c>
      <c r="I809">
        <f t="shared" si="88"/>
        <v>39.614298796389171</v>
      </c>
      <c r="J809" t="b">
        <f t="shared" si="89"/>
        <v>1</v>
      </c>
      <c r="K809">
        <f t="shared" si="90"/>
        <v>997</v>
      </c>
    </row>
    <row r="810" spans="1:11" x14ac:dyDescent="0.3">
      <c r="A810" t="s">
        <v>488</v>
      </c>
      <c r="B810">
        <v>34348.50419</v>
      </c>
      <c r="C810">
        <v>32292.837599999999</v>
      </c>
      <c r="D810">
        <v>817</v>
      </c>
      <c r="E810">
        <f t="shared" si="84"/>
        <v>42.042232790697675</v>
      </c>
      <c r="F810">
        <f t="shared" si="85"/>
        <v>2055.6665900000007</v>
      </c>
      <c r="G810">
        <f t="shared" si="86"/>
        <v>5.9847339454114398E-2</v>
      </c>
      <c r="H810">
        <f t="shared" si="87"/>
        <v>2.5161157772337859</v>
      </c>
      <c r="I810">
        <f t="shared" si="88"/>
        <v>39.526117013463889</v>
      </c>
      <c r="J810" t="b">
        <f t="shared" si="89"/>
        <v>1</v>
      </c>
      <c r="K810">
        <f t="shared" si="90"/>
        <v>817</v>
      </c>
    </row>
    <row r="811" spans="1:11" x14ac:dyDescent="0.3">
      <c r="A811" t="s">
        <v>489</v>
      </c>
      <c r="B811">
        <v>78276.831219999993</v>
      </c>
      <c r="C811">
        <v>73746.758709999995</v>
      </c>
      <c r="D811">
        <v>1866</v>
      </c>
      <c r="E811">
        <f t="shared" si="84"/>
        <v>41.948998510182207</v>
      </c>
      <c r="F811">
        <f t="shared" si="85"/>
        <v>4530.0725099999981</v>
      </c>
      <c r="G811">
        <f t="shared" si="86"/>
        <v>5.7872456503356123E-2</v>
      </c>
      <c r="H811">
        <f t="shared" si="87"/>
        <v>2.4276915916398707</v>
      </c>
      <c r="I811">
        <f t="shared" si="88"/>
        <v>39.521306918542336</v>
      </c>
      <c r="J811" t="b">
        <f t="shared" si="89"/>
        <v>1</v>
      </c>
      <c r="K811">
        <f t="shared" si="90"/>
        <v>1866</v>
      </c>
    </row>
    <row r="812" spans="1:11" x14ac:dyDescent="0.3">
      <c r="A812" t="s">
        <v>490</v>
      </c>
      <c r="B812">
        <v>92851.402660000007</v>
      </c>
      <c r="C812">
        <v>87451.566179999994</v>
      </c>
      <c r="D812">
        <v>2211</v>
      </c>
      <c r="E812">
        <f t="shared" si="84"/>
        <v>41.995206992311175</v>
      </c>
      <c r="F812">
        <f t="shared" si="85"/>
        <v>5399.8364800000127</v>
      </c>
      <c r="G812">
        <f t="shared" si="86"/>
        <v>5.8155680208439538E-2</v>
      </c>
      <c r="H812">
        <f t="shared" si="87"/>
        <v>2.4422598281320731</v>
      </c>
      <c r="I812">
        <f t="shared" si="88"/>
        <v>39.552947164179102</v>
      </c>
      <c r="J812" t="b">
        <f t="shared" si="89"/>
        <v>1</v>
      </c>
      <c r="K812">
        <f t="shared" si="90"/>
        <v>2211</v>
      </c>
    </row>
    <row r="813" spans="1:11" x14ac:dyDescent="0.3">
      <c r="A813" t="s">
        <v>491</v>
      </c>
      <c r="B813">
        <v>54845.789299999997</v>
      </c>
      <c r="C813">
        <v>51625.511720000002</v>
      </c>
      <c r="D813">
        <v>1304</v>
      </c>
      <c r="E813">
        <f t="shared" si="84"/>
        <v>42.059654371165642</v>
      </c>
      <c r="F813">
        <f t="shared" si="85"/>
        <v>3220.2775799999945</v>
      </c>
      <c r="G813">
        <f t="shared" si="86"/>
        <v>5.8715128747358451E-2</v>
      </c>
      <c r="H813">
        <f t="shared" si="87"/>
        <v>2.4695380214723883</v>
      </c>
      <c r="I813">
        <f t="shared" si="88"/>
        <v>39.590116349693254</v>
      </c>
      <c r="J813" t="b">
        <f t="shared" si="89"/>
        <v>1</v>
      </c>
      <c r="K813">
        <f t="shared" si="90"/>
        <v>1304</v>
      </c>
    </row>
    <row r="814" spans="1:11" x14ac:dyDescent="0.3">
      <c r="A814" t="s">
        <v>492</v>
      </c>
      <c r="B814">
        <v>48037.799899999998</v>
      </c>
      <c r="C814">
        <v>45187.641580000003</v>
      </c>
      <c r="D814">
        <v>1143</v>
      </c>
      <c r="E814">
        <f t="shared" si="84"/>
        <v>42.027821434820645</v>
      </c>
      <c r="F814">
        <f t="shared" si="85"/>
        <v>2850.158319999995</v>
      </c>
      <c r="G814">
        <f t="shared" si="86"/>
        <v>5.9331574841752797E-2</v>
      </c>
      <c r="H814">
        <f t="shared" si="87"/>
        <v>2.4935768328958829</v>
      </c>
      <c r="I814">
        <f t="shared" si="88"/>
        <v>39.534244601924762</v>
      </c>
      <c r="J814" t="b">
        <f t="shared" si="89"/>
        <v>1</v>
      </c>
      <c r="K814">
        <f t="shared" si="90"/>
        <v>1143</v>
      </c>
    </row>
    <row r="815" spans="1:11" x14ac:dyDescent="0.3">
      <c r="A815" t="s">
        <v>493</v>
      </c>
      <c r="B815">
        <v>65905.723259999999</v>
      </c>
      <c r="C815">
        <v>62023.881300000001</v>
      </c>
      <c r="D815">
        <v>1573</v>
      </c>
      <c r="E815">
        <f t="shared" si="84"/>
        <v>41.898107603305782</v>
      </c>
      <c r="F815">
        <f t="shared" si="85"/>
        <v>3881.8419599999979</v>
      </c>
      <c r="G815">
        <f t="shared" si="86"/>
        <v>5.8899922009595714E-2</v>
      </c>
      <c r="H815">
        <f t="shared" si="87"/>
        <v>2.4677952701843537</v>
      </c>
      <c r="I815">
        <f t="shared" si="88"/>
        <v>39.430312333121428</v>
      </c>
      <c r="J815" t="b">
        <f t="shared" si="89"/>
        <v>1</v>
      </c>
      <c r="K815">
        <f t="shared" si="90"/>
        <v>1573</v>
      </c>
    </row>
    <row r="816" spans="1:11" x14ac:dyDescent="0.3">
      <c r="A816" t="s">
        <v>494</v>
      </c>
      <c r="B816">
        <v>84870.051300000006</v>
      </c>
      <c r="C816">
        <v>81472.827179999993</v>
      </c>
      <c r="D816">
        <v>2065</v>
      </c>
      <c r="E816">
        <f t="shared" si="84"/>
        <v>41.0992984503632</v>
      </c>
      <c r="F816">
        <f t="shared" si="85"/>
        <v>3397.2241200000135</v>
      </c>
      <c r="G816">
        <f t="shared" si="86"/>
        <v>4.0028538547613832E-2</v>
      </c>
      <c r="H816">
        <f t="shared" si="87"/>
        <v>1.6451448523002483</v>
      </c>
      <c r="I816">
        <f t="shared" si="88"/>
        <v>39.454153598062952</v>
      </c>
      <c r="J816" t="b">
        <f t="shared" si="89"/>
        <v>1</v>
      </c>
      <c r="K816">
        <f t="shared" si="90"/>
        <v>2065</v>
      </c>
    </row>
    <row r="817" spans="1:11" x14ac:dyDescent="0.3">
      <c r="A817" t="s">
        <v>495</v>
      </c>
      <c r="B817">
        <v>262459.50569999998</v>
      </c>
      <c r="C817">
        <v>259298.4566</v>
      </c>
      <c r="D817">
        <v>6588</v>
      </c>
      <c r="E817">
        <f t="shared" si="84"/>
        <v>39.839026366120216</v>
      </c>
      <c r="F817">
        <f t="shared" si="85"/>
        <v>3161.0490999999747</v>
      </c>
      <c r="G817">
        <f t="shared" si="86"/>
        <v>1.2043949757389087E-2</v>
      </c>
      <c r="H817">
        <f t="shared" si="87"/>
        <v>0.47981923193685105</v>
      </c>
      <c r="I817">
        <f t="shared" si="88"/>
        <v>39.359207134183364</v>
      </c>
      <c r="J817" t="b">
        <f t="shared" si="89"/>
        <v>1</v>
      </c>
      <c r="K817">
        <f t="shared" si="90"/>
        <v>6588</v>
      </c>
    </row>
    <row r="818" spans="1:11" x14ac:dyDescent="0.3">
      <c r="A818" t="s">
        <v>496</v>
      </c>
      <c r="B818">
        <v>228124.39799999999</v>
      </c>
      <c r="C818">
        <v>222208.3504</v>
      </c>
      <c r="D818">
        <v>5652</v>
      </c>
      <c r="E818">
        <f t="shared" si="84"/>
        <v>40.361712314225052</v>
      </c>
      <c r="F818">
        <f t="shared" si="85"/>
        <v>5916.0475999999908</v>
      </c>
      <c r="G818">
        <f t="shared" si="86"/>
        <v>2.5933427778294854E-2</v>
      </c>
      <c r="H818">
        <f t="shared" si="87"/>
        <v>1.0467175513092712</v>
      </c>
      <c r="I818">
        <f t="shared" si="88"/>
        <v>39.314994762915781</v>
      </c>
      <c r="J818" t="b">
        <f t="shared" si="89"/>
        <v>1</v>
      </c>
      <c r="K818">
        <f t="shared" si="90"/>
        <v>5652</v>
      </c>
    </row>
    <row r="819" spans="1:11" x14ac:dyDescent="0.3">
      <c r="A819" t="s">
        <v>497</v>
      </c>
      <c r="B819">
        <v>162929.4921</v>
      </c>
      <c r="C819">
        <v>161434.81510000001</v>
      </c>
      <c r="D819">
        <v>4103</v>
      </c>
      <c r="E819">
        <f t="shared" si="84"/>
        <v>39.709844528393859</v>
      </c>
      <c r="F819">
        <f t="shared" si="85"/>
        <v>1494.676999999996</v>
      </c>
      <c r="G819">
        <f t="shared" si="86"/>
        <v>9.1737657850342984E-3</v>
      </c>
      <c r="H819">
        <f t="shared" si="87"/>
        <v>0.3642888130636095</v>
      </c>
      <c r="I819">
        <f t="shared" si="88"/>
        <v>39.345555715330249</v>
      </c>
      <c r="J819" t="b">
        <f t="shared" si="89"/>
        <v>1</v>
      </c>
      <c r="K819">
        <f t="shared" si="90"/>
        <v>4103</v>
      </c>
    </row>
    <row r="820" spans="1:11" x14ac:dyDescent="0.3">
      <c r="A820" t="s">
        <v>498</v>
      </c>
      <c r="B820">
        <v>58359.832179999998</v>
      </c>
      <c r="C820">
        <v>57681.569880000003</v>
      </c>
      <c r="D820">
        <v>1466</v>
      </c>
      <c r="E820">
        <f t="shared" si="84"/>
        <v>39.80888961800818</v>
      </c>
      <c r="F820">
        <f t="shared" si="85"/>
        <v>678.26229999999487</v>
      </c>
      <c r="G820">
        <f t="shared" si="86"/>
        <v>1.1622074201790395E-2</v>
      </c>
      <c r="H820">
        <f t="shared" si="87"/>
        <v>0.46266186903137196</v>
      </c>
      <c r="I820">
        <f t="shared" si="88"/>
        <v>39.346227748976808</v>
      </c>
      <c r="J820" t="b">
        <f t="shared" si="89"/>
        <v>1</v>
      </c>
      <c r="K820">
        <f t="shared" si="90"/>
        <v>1466</v>
      </c>
    </row>
    <row r="821" spans="1:11" x14ac:dyDescent="0.3">
      <c r="A821" t="s">
        <v>499</v>
      </c>
      <c r="B821">
        <v>85605.331919999997</v>
      </c>
      <c r="C821">
        <v>85022.380919999996</v>
      </c>
      <c r="D821">
        <v>2162</v>
      </c>
      <c r="E821">
        <f t="shared" si="84"/>
        <v>39.5954356706753</v>
      </c>
      <c r="F821">
        <f t="shared" si="85"/>
        <v>582.95100000000093</v>
      </c>
      <c r="G821">
        <f t="shared" si="86"/>
        <v>6.8097510625247156E-3</v>
      </c>
      <c r="H821">
        <f t="shared" si="87"/>
        <v>0.26963506012950944</v>
      </c>
      <c r="I821">
        <f t="shared" si="88"/>
        <v>39.325800610545791</v>
      </c>
      <c r="J821" t="b">
        <f t="shared" si="89"/>
        <v>1</v>
      </c>
      <c r="K821">
        <f t="shared" si="90"/>
        <v>2162</v>
      </c>
    </row>
    <row r="822" spans="1:11" x14ac:dyDescent="0.3">
      <c r="A822" t="s">
        <v>500</v>
      </c>
      <c r="B822">
        <v>84836.414340000003</v>
      </c>
      <c r="C822">
        <v>84595.217929999999</v>
      </c>
      <c r="D822">
        <v>2155</v>
      </c>
      <c r="E822">
        <f t="shared" si="84"/>
        <v>39.367245633410676</v>
      </c>
      <c r="F822">
        <f t="shared" si="85"/>
        <v>241.19641000000411</v>
      </c>
      <c r="G822">
        <f t="shared" si="86"/>
        <v>2.8430764298141846E-3</v>
      </c>
      <c r="H822">
        <f t="shared" si="87"/>
        <v>0.11192408816705779</v>
      </c>
      <c r="I822">
        <f t="shared" si="88"/>
        <v>39.255321545243618</v>
      </c>
      <c r="J822" t="b">
        <f t="shared" si="89"/>
        <v>1</v>
      </c>
      <c r="K822">
        <f t="shared" si="90"/>
        <v>2155</v>
      </c>
    </row>
    <row r="823" spans="1:11" x14ac:dyDescent="0.3">
      <c r="A823" t="s">
        <v>501</v>
      </c>
      <c r="B823">
        <v>64308.914219999999</v>
      </c>
      <c r="C823">
        <v>68427.594670000006</v>
      </c>
      <c r="D823">
        <v>1746</v>
      </c>
      <c r="E823">
        <f t="shared" si="84"/>
        <v>36.832138728522338</v>
      </c>
      <c r="F823">
        <f t="shared" si="85"/>
        <v>-4118.6804500000071</v>
      </c>
      <c r="G823">
        <f t="shared" si="86"/>
        <v>-6.4045249402128801E-2</v>
      </c>
      <c r="H823">
        <f t="shared" si="87"/>
        <v>-2.3589235108820148</v>
      </c>
      <c r="I823">
        <f t="shared" si="88"/>
        <v>39.191062239404353</v>
      </c>
      <c r="J823" t="b">
        <f t="shared" si="89"/>
        <v>0</v>
      </c>
      <c r="K823">
        <f t="shared" si="90"/>
        <v>1746</v>
      </c>
    </row>
    <row r="824" spans="1:11" x14ac:dyDescent="0.3">
      <c r="A824" t="s">
        <v>502</v>
      </c>
      <c r="B824">
        <v>131168.48550000001</v>
      </c>
      <c r="C824">
        <v>138589.10010000001</v>
      </c>
      <c r="D824">
        <v>3554</v>
      </c>
      <c r="E824">
        <f t="shared" si="84"/>
        <v>36.907283483398992</v>
      </c>
      <c r="F824">
        <f t="shared" si="85"/>
        <v>-7420.6146000000008</v>
      </c>
      <c r="G824">
        <f t="shared" si="86"/>
        <v>-5.6573151483097668E-2</v>
      </c>
      <c r="H824">
        <f t="shared" si="87"/>
        <v>-2.0879613393359548</v>
      </c>
      <c r="I824">
        <f t="shared" si="88"/>
        <v>38.995244822734946</v>
      </c>
      <c r="J824" t="b">
        <f t="shared" si="89"/>
        <v>0</v>
      </c>
      <c r="K824">
        <f t="shared" si="90"/>
        <v>3554</v>
      </c>
    </row>
    <row r="825" spans="1:11" x14ac:dyDescent="0.3">
      <c r="A825" s="1">
        <v>42373</v>
      </c>
      <c r="B825">
        <v>232410.198</v>
      </c>
      <c r="C825">
        <v>245358.63</v>
      </c>
      <c r="D825">
        <v>6282</v>
      </c>
      <c r="E825">
        <f t="shared" si="84"/>
        <v>36.996211079274119</v>
      </c>
      <c r="F825">
        <f t="shared" si="85"/>
        <v>-12948.432000000001</v>
      </c>
      <c r="G825">
        <f t="shared" si="86"/>
        <v>-5.571369979212358E-2</v>
      </c>
      <c r="H825">
        <f t="shared" si="87"/>
        <v>-2.0611957975167101</v>
      </c>
      <c r="I825">
        <f t="shared" si="88"/>
        <v>39.057406876790829</v>
      </c>
      <c r="J825" t="b">
        <f t="shared" si="89"/>
        <v>0</v>
      </c>
      <c r="K825">
        <f t="shared" si="90"/>
        <v>6282</v>
      </c>
    </row>
    <row r="826" spans="1:11" x14ac:dyDescent="0.3">
      <c r="A826" s="1">
        <v>42404</v>
      </c>
      <c r="B826">
        <v>195831.0975</v>
      </c>
      <c r="C826">
        <v>205442.82810000001</v>
      </c>
      <c r="D826">
        <v>5259</v>
      </c>
      <c r="E826">
        <f t="shared" si="84"/>
        <v>37.237326012549914</v>
      </c>
      <c r="F826">
        <f t="shared" si="85"/>
        <v>-9611.7306000000099</v>
      </c>
      <c r="G826">
        <f t="shared" si="86"/>
        <v>-4.9081737899160829E-2</v>
      </c>
      <c r="H826">
        <f t="shared" si="87"/>
        <v>-1.8276726754135808</v>
      </c>
      <c r="I826">
        <f t="shared" si="88"/>
        <v>39.064998687963495</v>
      </c>
      <c r="J826" t="b">
        <f t="shared" si="89"/>
        <v>0</v>
      </c>
      <c r="K826">
        <f t="shared" si="90"/>
        <v>5259</v>
      </c>
    </row>
    <row r="827" spans="1:11" x14ac:dyDescent="0.3">
      <c r="A827" s="1">
        <v>42433</v>
      </c>
      <c r="B827">
        <v>90716.547890000002</v>
      </c>
      <c r="C827">
        <v>95543.133650000003</v>
      </c>
      <c r="D827">
        <v>2446</v>
      </c>
      <c r="E827">
        <f t="shared" si="84"/>
        <v>37.087713773507765</v>
      </c>
      <c r="F827">
        <f t="shared" si="85"/>
        <v>-4826.5857600000018</v>
      </c>
      <c r="G827">
        <f t="shared" si="86"/>
        <v>-5.3205130400823517E-2</v>
      </c>
      <c r="H827">
        <f t="shared" si="87"/>
        <v>-1.9732566475879025</v>
      </c>
      <c r="I827">
        <f t="shared" si="88"/>
        <v>39.060970421095668</v>
      </c>
      <c r="J827" t="b">
        <f t="shared" si="89"/>
        <v>0</v>
      </c>
      <c r="K827">
        <f t="shared" si="90"/>
        <v>2446</v>
      </c>
    </row>
    <row r="828" spans="1:11" x14ac:dyDescent="0.3">
      <c r="A828" s="1">
        <v>42464</v>
      </c>
      <c r="B828">
        <v>131638.0196</v>
      </c>
      <c r="C828">
        <v>130700.18889999999</v>
      </c>
      <c r="D828">
        <v>3345</v>
      </c>
      <c r="E828">
        <f t="shared" si="84"/>
        <v>39.35366804185351</v>
      </c>
      <c r="F828">
        <f t="shared" si="85"/>
        <v>937.83070000000589</v>
      </c>
      <c r="G828">
        <f t="shared" si="86"/>
        <v>7.1243148662501294E-3</v>
      </c>
      <c r="H828">
        <f t="shared" si="87"/>
        <v>0.28036792227204899</v>
      </c>
      <c r="I828">
        <f t="shared" si="88"/>
        <v>39.073300119581461</v>
      </c>
      <c r="J828" t="b">
        <f t="shared" si="89"/>
        <v>1</v>
      </c>
      <c r="K828">
        <f t="shared" si="90"/>
        <v>3345</v>
      </c>
    </row>
    <row r="829" spans="1:11" x14ac:dyDescent="0.3">
      <c r="A829" s="1">
        <v>42494</v>
      </c>
      <c r="B829">
        <v>81910.872619999995</v>
      </c>
      <c r="C829">
        <v>79969.510550000006</v>
      </c>
      <c r="D829">
        <v>2048</v>
      </c>
      <c r="E829">
        <f t="shared" si="84"/>
        <v>39.995543271484372</v>
      </c>
      <c r="F829">
        <f t="shared" si="85"/>
        <v>1941.3620699999883</v>
      </c>
      <c r="G829">
        <f t="shared" si="86"/>
        <v>2.3700908168886609E-2</v>
      </c>
      <c r="H829">
        <f t="shared" si="87"/>
        <v>0.94793069824218179</v>
      </c>
      <c r="I829">
        <f t="shared" si="88"/>
        <v>39.047612573242191</v>
      </c>
      <c r="J829" t="b">
        <f t="shared" si="89"/>
        <v>1</v>
      </c>
      <c r="K829">
        <f t="shared" si="90"/>
        <v>2048</v>
      </c>
    </row>
    <row r="830" spans="1:11" x14ac:dyDescent="0.3">
      <c r="A830" s="1">
        <v>42525</v>
      </c>
      <c r="B830">
        <v>54821.908510000001</v>
      </c>
      <c r="C830">
        <v>50800.00851</v>
      </c>
      <c r="D830">
        <v>1303</v>
      </c>
      <c r="E830">
        <f t="shared" si="84"/>
        <v>42.073605917114349</v>
      </c>
      <c r="F830">
        <f t="shared" si="85"/>
        <v>4021.9000000000015</v>
      </c>
      <c r="G830">
        <f t="shared" si="86"/>
        <v>7.3363005946178825E-2</v>
      </c>
      <c r="H830">
        <f t="shared" si="87"/>
        <v>3.0866462010744442</v>
      </c>
      <c r="I830">
        <f t="shared" si="88"/>
        <v>38.986959716039905</v>
      </c>
      <c r="J830" t="b">
        <f t="shared" si="89"/>
        <v>1</v>
      </c>
      <c r="K830">
        <f t="shared" si="90"/>
        <v>1303</v>
      </c>
    </row>
    <row r="831" spans="1:11" x14ac:dyDescent="0.3">
      <c r="A831" s="1">
        <v>42555</v>
      </c>
      <c r="B831">
        <v>155615.41940000001</v>
      </c>
      <c r="C831">
        <v>171592.12590000001</v>
      </c>
      <c r="D831">
        <v>4413</v>
      </c>
      <c r="E831">
        <f t="shared" si="84"/>
        <v>35.262954769997734</v>
      </c>
      <c r="F831">
        <f t="shared" si="85"/>
        <v>-15976.7065</v>
      </c>
      <c r="G831">
        <f t="shared" si="86"/>
        <v>-0.10266788832109781</v>
      </c>
      <c r="H831">
        <f t="shared" si="87"/>
        <v>-3.6203731021980516</v>
      </c>
      <c r="I831">
        <f t="shared" si="88"/>
        <v>38.883327872195785</v>
      </c>
      <c r="J831" t="b">
        <f t="shared" si="89"/>
        <v>0</v>
      </c>
      <c r="K831">
        <f t="shared" si="90"/>
        <v>4413</v>
      </c>
    </row>
    <row r="832" spans="1:11" x14ac:dyDescent="0.3">
      <c r="A832" s="1">
        <v>42586</v>
      </c>
      <c r="B832">
        <v>264086.89380000002</v>
      </c>
      <c r="C832">
        <v>291378.57980000001</v>
      </c>
      <c r="D832">
        <v>7494</v>
      </c>
      <c r="E832">
        <f t="shared" si="84"/>
        <v>35.239777662129704</v>
      </c>
      <c r="F832">
        <f t="shared" si="85"/>
        <v>-27291.685999999987</v>
      </c>
      <c r="G832">
        <f t="shared" si="86"/>
        <v>-0.10334358364890574</v>
      </c>
      <c r="H832">
        <f t="shared" si="87"/>
        <v>-3.6418049105951411</v>
      </c>
      <c r="I832">
        <f t="shared" si="88"/>
        <v>38.881582572724845</v>
      </c>
      <c r="J832" t="b">
        <f t="shared" si="89"/>
        <v>0</v>
      </c>
      <c r="K832">
        <f t="shared" si="90"/>
        <v>7494</v>
      </c>
    </row>
    <row r="833" spans="1:11" x14ac:dyDescent="0.3">
      <c r="A833" s="1">
        <v>42617</v>
      </c>
      <c r="B833">
        <v>272761.29749999999</v>
      </c>
      <c r="C833">
        <v>298164.41609999997</v>
      </c>
      <c r="D833">
        <v>7738</v>
      </c>
      <c r="E833">
        <f t="shared" si="84"/>
        <v>35.249586133367792</v>
      </c>
      <c r="F833">
        <f t="shared" si="85"/>
        <v>-25403.118599999987</v>
      </c>
      <c r="G833">
        <f t="shared" si="86"/>
        <v>-9.3133149141145982E-2</v>
      </c>
      <c r="H833">
        <f t="shared" si="87"/>
        <v>-3.2829049625226148</v>
      </c>
      <c r="I833">
        <f t="shared" si="88"/>
        <v>38.532491095890407</v>
      </c>
      <c r="J833" t="b">
        <f t="shared" si="89"/>
        <v>0</v>
      </c>
      <c r="K833">
        <f t="shared" si="90"/>
        <v>7738</v>
      </c>
    </row>
    <row r="834" spans="1:11" x14ac:dyDescent="0.3">
      <c r="A834" s="1">
        <v>42647</v>
      </c>
      <c r="B834">
        <v>104689.4279</v>
      </c>
      <c r="C834">
        <v>113609.3043</v>
      </c>
      <c r="D834">
        <v>2958</v>
      </c>
      <c r="E834">
        <f t="shared" si="84"/>
        <v>35.391963455037185</v>
      </c>
      <c r="F834">
        <f t="shared" si="85"/>
        <v>-8919.8764000000083</v>
      </c>
      <c r="G834">
        <f t="shared" si="86"/>
        <v>-8.5203220410377353E-2</v>
      </c>
      <c r="H834">
        <f t="shared" si="87"/>
        <v>-3.0155092630155522</v>
      </c>
      <c r="I834">
        <f t="shared" si="88"/>
        <v>38.407472718052738</v>
      </c>
      <c r="J834" t="b">
        <f t="shared" si="89"/>
        <v>0</v>
      </c>
      <c r="K834">
        <f t="shared" si="90"/>
        <v>2958</v>
      </c>
    </row>
    <row r="835" spans="1:11" x14ac:dyDescent="0.3">
      <c r="A835" s="1">
        <v>42678</v>
      </c>
      <c r="B835">
        <v>131170.5969</v>
      </c>
      <c r="C835">
        <v>142022.8126</v>
      </c>
      <c r="D835">
        <v>3713</v>
      </c>
      <c r="E835">
        <f t="shared" ref="E835:E898" si="91">B835/D835</f>
        <v>35.327389415566927</v>
      </c>
      <c r="F835">
        <f t="shared" ref="F835:F898" si="92">B835-C835</f>
        <v>-10852.215700000001</v>
      </c>
      <c r="G835">
        <f t="shared" ref="G835:H898" si="93">F835/B835</f>
        <v>-8.2733600032889695E-2</v>
      </c>
      <c r="H835">
        <f t="shared" ref="H835:H898" si="94">E835-I835</f>
        <v>-2.9227621061136588</v>
      </c>
      <c r="I835">
        <f t="shared" ref="I835:I898" si="95">C835/D835</f>
        <v>38.250151521680586</v>
      </c>
      <c r="J835" t="b">
        <f t="shared" ref="J835:J898" si="96">H835&gt;0</f>
        <v>0</v>
      </c>
      <c r="K835">
        <f t="shared" ref="K835:K898" si="97">D835</f>
        <v>3713</v>
      </c>
    </row>
    <row r="836" spans="1:11" x14ac:dyDescent="0.3">
      <c r="A836" s="1">
        <v>42708</v>
      </c>
      <c r="B836">
        <v>123179.48940000001</v>
      </c>
      <c r="C836">
        <v>132714.9602</v>
      </c>
      <c r="D836">
        <v>3504</v>
      </c>
      <c r="E836">
        <f t="shared" si="91"/>
        <v>35.153963869863013</v>
      </c>
      <c r="F836">
        <f t="shared" si="92"/>
        <v>-9535.4707999999955</v>
      </c>
      <c r="G836">
        <f t="shared" si="93"/>
        <v>-7.7411189528765773E-2</v>
      </c>
      <c r="H836">
        <f t="shared" si="94"/>
        <v>-2.7213101598173495</v>
      </c>
      <c r="I836">
        <f t="shared" si="95"/>
        <v>37.875274029680362</v>
      </c>
      <c r="J836" t="b">
        <f t="shared" si="96"/>
        <v>0</v>
      </c>
      <c r="K836">
        <f t="shared" si="97"/>
        <v>3504</v>
      </c>
    </row>
    <row r="837" spans="1:11" x14ac:dyDescent="0.3">
      <c r="A837" t="s">
        <v>503</v>
      </c>
      <c r="B837">
        <v>124431.04640000001</v>
      </c>
      <c r="C837">
        <v>132889.0569</v>
      </c>
      <c r="D837">
        <v>3534</v>
      </c>
      <c r="E837">
        <f t="shared" si="91"/>
        <v>35.209690548953027</v>
      </c>
      <c r="F837">
        <f t="shared" si="92"/>
        <v>-8458.0104999999894</v>
      </c>
      <c r="G837">
        <f t="shared" si="93"/>
        <v>-6.7973474021994468E-2</v>
      </c>
      <c r="H837">
        <f t="shared" si="94"/>
        <v>-2.3933249858517271</v>
      </c>
      <c r="I837">
        <f t="shared" si="95"/>
        <v>37.603015534804754</v>
      </c>
      <c r="J837" t="b">
        <f t="shared" si="96"/>
        <v>0</v>
      </c>
      <c r="K837">
        <f t="shared" si="97"/>
        <v>3534</v>
      </c>
    </row>
    <row r="838" spans="1:11" x14ac:dyDescent="0.3">
      <c r="A838" t="s">
        <v>504</v>
      </c>
      <c r="B838">
        <v>162166.83600000001</v>
      </c>
      <c r="C838">
        <v>172225.65270000001</v>
      </c>
      <c r="D838">
        <v>4601</v>
      </c>
      <c r="E838">
        <f t="shared" si="91"/>
        <v>35.245997826559446</v>
      </c>
      <c r="F838">
        <f t="shared" si="92"/>
        <v>-10058.816699999996</v>
      </c>
      <c r="G838">
        <f t="shared" si="93"/>
        <v>-6.202758189103471E-2</v>
      </c>
      <c r="H838">
        <f t="shared" si="94"/>
        <v>-2.1862240165181461</v>
      </c>
      <c r="I838">
        <f t="shared" si="95"/>
        <v>37.432221843077592</v>
      </c>
      <c r="J838" t="b">
        <f t="shared" si="96"/>
        <v>0</v>
      </c>
      <c r="K838">
        <f t="shared" si="97"/>
        <v>4601</v>
      </c>
    </row>
    <row r="839" spans="1:11" x14ac:dyDescent="0.3">
      <c r="A839" t="s">
        <v>505</v>
      </c>
      <c r="B839">
        <v>354042.0232</v>
      </c>
      <c r="C839">
        <v>373200.30599999998</v>
      </c>
      <c r="D839">
        <v>10045</v>
      </c>
      <c r="E839">
        <f t="shared" si="91"/>
        <v>35.245597132901942</v>
      </c>
      <c r="F839">
        <f t="shared" si="92"/>
        <v>-19158.282799999986</v>
      </c>
      <c r="G839">
        <f t="shared" si="93"/>
        <v>-5.4113019202744139E-2</v>
      </c>
      <c r="H839">
        <f t="shared" si="94"/>
        <v>-1.9072456744649031</v>
      </c>
      <c r="I839">
        <f t="shared" si="95"/>
        <v>37.152842807366845</v>
      </c>
      <c r="J839" t="b">
        <f t="shared" si="96"/>
        <v>0</v>
      </c>
      <c r="K839">
        <f t="shared" si="97"/>
        <v>10045</v>
      </c>
    </row>
    <row r="840" spans="1:11" x14ac:dyDescent="0.3">
      <c r="A840" t="s">
        <v>506</v>
      </c>
      <c r="B840">
        <v>327352.26140000002</v>
      </c>
      <c r="C840">
        <v>345338.62809999997</v>
      </c>
      <c r="D840">
        <v>9301</v>
      </c>
      <c r="E840">
        <f t="shared" si="91"/>
        <v>35.195383442640576</v>
      </c>
      <c r="F840">
        <f t="shared" si="92"/>
        <v>-17986.366699999955</v>
      </c>
      <c r="G840">
        <f t="shared" si="93"/>
        <v>-5.4944989911103616E-2</v>
      </c>
      <c r="H840">
        <f t="shared" si="94"/>
        <v>-1.9338099881733086</v>
      </c>
      <c r="I840">
        <f t="shared" si="95"/>
        <v>37.129193430813885</v>
      </c>
      <c r="J840" t="b">
        <f t="shared" si="96"/>
        <v>0</v>
      </c>
      <c r="K840">
        <f t="shared" si="97"/>
        <v>9301</v>
      </c>
    </row>
    <row r="841" spans="1:11" x14ac:dyDescent="0.3">
      <c r="A841" t="s">
        <v>507</v>
      </c>
      <c r="B841">
        <v>164809.30300000001</v>
      </c>
      <c r="C841">
        <v>175167.42879999999</v>
      </c>
      <c r="D841">
        <v>4678</v>
      </c>
      <c r="E841">
        <f t="shared" si="91"/>
        <v>35.230718896964518</v>
      </c>
      <c r="F841">
        <f t="shared" si="92"/>
        <v>-10358.12579999998</v>
      </c>
      <c r="G841">
        <f t="shared" si="93"/>
        <v>-6.2849157246906012E-2</v>
      </c>
      <c r="H841">
        <f t="shared" si="94"/>
        <v>-2.2142209918768643</v>
      </c>
      <c r="I841">
        <f t="shared" si="95"/>
        <v>37.444939888841382</v>
      </c>
      <c r="J841" t="b">
        <f t="shared" si="96"/>
        <v>0</v>
      </c>
      <c r="K841">
        <f t="shared" si="97"/>
        <v>4678</v>
      </c>
    </row>
    <row r="842" spans="1:11" x14ac:dyDescent="0.3">
      <c r="A842" t="s">
        <v>508</v>
      </c>
      <c r="B842">
        <v>151157.79430000001</v>
      </c>
      <c r="C842">
        <v>159828.76500000001</v>
      </c>
      <c r="D842">
        <v>4294</v>
      </c>
      <c r="E842">
        <f t="shared" si="91"/>
        <v>35.202094620400558</v>
      </c>
      <c r="F842">
        <f t="shared" si="92"/>
        <v>-8670.9707000000053</v>
      </c>
      <c r="G842">
        <f t="shared" si="93"/>
        <v>-5.7363702216975287E-2</v>
      </c>
      <c r="H842">
        <f t="shared" si="94"/>
        <v>-2.0193224732184447</v>
      </c>
      <c r="I842">
        <f t="shared" si="95"/>
        <v>37.221417093619003</v>
      </c>
      <c r="J842" t="b">
        <f t="shared" si="96"/>
        <v>0</v>
      </c>
      <c r="K842">
        <f t="shared" si="97"/>
        <v>4294</v>
      </c>
    </row>
    <row r="843" spans="1:11" x14ac:dyDescent="0.3">
      <c r="A843" t="s">
        <v>509</v>
      </c>
      <c r="B843">
        <v>126895.9365</v>
      </c>
      <c r="C843">
        <v>133726.2806</v>
      </c>
      <c r="D843">
        <v>3606</v>
      </c>
      <c r="E843">
        <f t="shared" si="91"/>
        <v>35.19022088186356</v>
      </c>
      <c r="F843">
        <f t="shared" si="92"/>
        <v>-6830.3441000000021</v>
      </c>
      <c r="G843">
        <f t="shared" si="93"/>
        <v>-5.3826342185512001E-2</v>
      </c>
      <c r="H843">
        <f t="shared" si="94"/>
        <v>-1.8941608707709392</v>
      </c>
      <c r="I843">
        <f t="shared" si="95"/>
        <v>37.084381752634499</v>
      </c>
      <c r="J843" t="b">
        <f t="shared" si="96"/>
        <v>0</v>
      </c>
      <c r="K843">
        <f t="shared" si="97"/>
        <v>3606</v>
      </c>
    </row>
    <row r="844" spans="1:11" x14ac:dyDescent="0.3">
      <c r="A844" t="s">
        <v>510</v>
      </c>
      <c r="B844">
        <v>166395.44579999999</v>
      </c>
      <c r="C844">
        <v>179020.54250000001</v>
      </c>
      <c r="D844">
        <v>4838</v>
      </c>
      <c r="E844">
        <f t="shared" si="91"/>
        <v>34.393436502687059</v>
      </c>
      <c r="F844">
        <f t="shared" si="92"/>
        <v>-12625.096700000024</v>
      </c>
      <c r="G844">
        <f t="shared" si="93"/>
        <v>-7.5874051956775518E-2</v>
      </c>
      <c r="H844">
        <f t="shared" si="94"/>
        <v>-2.6095693881769364</v>
      </c>
      <c r="I844">
        <f t="shared" si="95"/>
        <v>37.003005890863996</v>
      </c>
      <c r="J844" t="b">
        <f t="shared" si="96"/>
        <v>0</v>
      </c>
      <c r="K844">
        <f t="shared" si="97"/>
        <v>4838</v>
      </c>
    </row>
    <row r="845" spans="1:11" x14ac:dyDescent="0.3">
      <c r="A845" t="s">
        <v>511</v>
      </c>
      <c r="B845">
        <v>167796.3548</v>
      </c>
      <c r="C845">
        <v>182485.09890000001</v>
      </c>
      <c r="D845">
        <v>4914</v>
      </c>
      <c r="E845">
        <f t="shared" si="91"/>
        <v>34.146592348392346</v>
      </c>
      <c r="F845">
        <f t="shared" si="92"/>
        <v>-14688.744100000011</v>
      </c>
      <c r="G845">
        <f t="shared" si="93"/>
        <v>-8.7539113215587036E-2</v>
      </c>
      <c r="H845">
        <f t="shared" si="94"/>
        <v>-2.9891624135124175</v>
      </c>
      <c r="I845">
        <f t="shared" si="95"/>
        <v>37.135754761904764</v>
      </c>
      <c r="J845" t="b">
        <f t="shared" si="96"/>
        <v>0</v>
      </c>
      <c r="K845">
        <f t="shared" si="97"/>
        <v>4914</v>
      </c>
    </row>
    <row r="846" spans="1:11" x14ac:dyDescent="0.3">
      <c r="A846" t="s">
        <v>512</v>
      </c>
      <c r="B846">
        <v>351146.01699999999</v>
      </c>
      <c r="C846">
        <v>380098.15639999998</v>
      </c>
      <c r="D846">
        <v>10269</v>
      </c>
      <c r="E846">
        <f t="shared" si="91"/>
        <v>34.194762586425163</v>
      </c>
      <c r="F846">
        <f t="shared" si="92"/>
        <v>-28952.139399999985</v>
      </c>
      <c r="G846">
        <f t="shared" si="93"/>
        <v>-8.245042802236878E-2</v>
      </c>
      <c r="H846">
        <f t="shared" si="94"/>
        <v>-2.8193728113740377</v>
      </c>
      <c r="I846">
        <f t="shared" si="95"/>
        <v>37.014135397799201</v>
      </c>
      <c r="J846" t="b">
        <f t="shared" si="96"/>
        <v>0</v>
      </c>
      <c r="K846">
        <f t="shared" si="97"/>
        <v>10269</v>
      </c>
    </row>
    <row r="847" spans="1:11" x14ac:dyDescent="0.3">
      <c r="A847" t="s">
        <v>513</v>
      </c>
      <c r="B847">
        <v>420738.82179999998</v>
      </c>
      <c r="C847">
        <v>455415.3493</v>
      </c>
      <c r="D847">
        <v>12317</v>
      </c>
      <c r="E847">
        <f t="shared" si="91"/>
        <v>34.159196378988391</v>
      </c>
      <c r="F847">
        <f t="shared" si="92"/>
        <v>-34676.527500000026</v>
      </c>
      <c r="G847">
        <f t="shared" si="93"/>
        <v>-8.2418178934968028E-2</v>
      </c>
      <c r="H847">
        <f t="shared" si="94"/>
        <v>-2.8153387594381769</v>
      </c>
      <c r="I847">
        <f t="shared" si="95"/>
        <v>36.974535138426567</v>
      </c>
      <c r="J847" t="b">
        <f t="shared" si="96"/>
        <v>0</v>
      </c>
      <c r="K847">
        <f t="shared" si="97"/>
        <v>12317</v>
      </c>
    </row>
    <row r="848" spans="1:11" x14ac:dyDescent="0.3">
      <c r="A848" t="s">
        <v>514</v>
      </c>
      <c r="B848">
        <v>186166.1508</v>
      </c>
      <c r="C848">
        <v>202391.17869999999</v>
      </c>
      <c r="D848">
        <v>5453</v>
      </c>
      <c r="E848">
        <f t="shared" si="91"/>
        <v>34.140134017971761</v>
      </c>
      <c r="F848">
        <f t="shared" si="92"/>
        <v>-16225.027899999986</v>
      </c>
      <c r="G848">
        <f t="shared" si="93"/>
        <v>-8.7153479997718178E-2</v>
      </c>
      <c r="H848">
        <f t="shared" si="94"/>
        <v>-2.975431487254717</v>
      </c>
      <c r="I848">
        <f t="shared" si="95"/>
        <v>37.115565505226478</v>
      </c>
      <c r="J848" t="b">
        <f t="shared" si="96"/>
        <v>0</v>
      </c>
      <c r="K848">
        <f t="shared" si="97"/>
        <v>5453</v>
      </c>
    </row>
    <row r="849" spans="1:11" x14ac:dyDescent="0.3">
      <c r="A849" t="s">
        <v>515</v>
      </c>
      <c r="B849">
        <v>251449.52960000001</v>
      </c>
      <c r="C849">
        <v>273255.09850000002</v>
      </c>
      <c r="D849">
        <v>7372</v>
      </c>
      <c r="E849">
        <f t="shared" si="91"/>
        <v>34.108726207270756</v>
      </c>
      <c r="F849">
        <f t="shared" si="92"/>
        <v>-21805.568900000013</v>
      </c>
      <c r="G849">
        <f t="shared" si="93"/>
        <v>-8.6719465869305054E-2</v>
      </c>
      <c r="H849">
        <f t="shared" si="94"/>
        <v>-2.9578905181768889</v>
      </c>
      <c r="I849">
        <f t="shared" si="95"/>
        <v>37.066616725447645</v>
      </c>
      <c r="J849" t="b">
        <f t="shared" si="96"/>
        <v>0</v>
      </c>
      <c r="K849">
        <f t="shared" si="97"/>
        <v>7372</v>
      </c>
    </row>
    <row r="850" spans="1:11" x14ac:dyDescent="0.3">
      <c r="A850" t="s">
        <v>516</v>
      </c>
      <c r="B850">
        <v>280321.81069999997</v>
      </c>
      <c r="C850">
        <v>302469.83199999999</v>
      </c>
      <c r="D850">
        <v>8211</v>
      </c>
      <c r="E850">
        <f t="shared" si="91"/>
        <v>34.139789392278644</v>
      </c>
      <c r="F850">
        <f t="shared" si="92"/>
        <v>-22148.021300000022</v>
      </c>
      <c r="G850">
        <f t="shared" si="93"/>
        <v>-7.9009268828185486E-2</v>
      </c>
      <c r="H850">
        <f t="shared" si="94"/>
        <v>-2.6973597978321848</v>
      </c>
      <c r="I850">
        <f t="shared" si="95"/>
        <v>36.837149190110829</v>
      </c>
      <c r="J850" t="b">
        <f t="shared" si="96"/>
        <v>0</v>
      </c>
      <c r="K850">
        <f t="shared" si="97"/>
        <v>8211</v>
      </c>
    </row>
    <row r="851" spans="1:11" x14ac:dyDescent="0.3">
      <c r="A851" t="s">
        <v>517</v>
      </c>
      <c r="B851">
        <v>313434.93329999998</v>
      </c>
      <c r="C851">
        <v>337931.11700000003</v>
      </c>
      <c r="D851">
        <v>9182</v>
      </c>
      <c r="E851">
        <f t="shared" si="91"/>
        <v>34.135801927684597</v>
      </c>
      <c r="F851">
        <f t="shared" si="92"/>
        <v>-24496.183700000052</v>
      </c>
      <c r="G851">
        <f t="shared" si="93"/>
        <v>-7.815396784937774E-2</v>
      </c>
      <c r="H851">
        <f t="shared" si="94"/>
        <v>-2.667848366368986</v>
      </c>
      <c r="I851">
        <f t="shared" si="95"/>
        <v>36.803650294053583</v>
      </c>
      <c r="J851" t="b">
        <f t="shared" si="96"/>
        <v>0</v>
      </c>
      <c r="K851">
        <f t="shared" si="97"/>
        <v>9182</v>
      </c>
    </row>
    <row r="852" spans="1:11" x14ac:dyDescent="0.3">
      <c r="A852" t="s">
        <v>518</v>
      </c>
      <c r="B852">
        <v>257324.60310000001</v>
      </c>
      <c r="C852">
        <v>276852.17989999999</v>
      </c>
      <c r="D852">
        <v>7520</v>
      </c>
      <c r="E852">
        <f t="shared" si="91"/>
        <v>34.21869722074468</v>
      </c>
      <c r="F852">
        <f t="shared" si="92"/>
        <v>-19527.576799999981</v>
      </c>
      <c r="G852">
        <f t="shared" si="93"/>
        <v>-7.5886940326538796E-2</v>
      </c>
      <c r="H852">
        <f t="shared" si="94"/>
        <v>-2.5967522340425546</v>
      </c>
      <c r="I852">
        <f t="shared" si="95"/>
        <v>36.815449454787235</v>
      </c>
      <c r="J852" t="b">
        <f t="shared" si="96"/>
        <v>0</v>
      </c>
      <c r="K852">
        <f t="shared" si="97"/>
        <v>7520</v>
      </c>
    </row>
    <row r="853" spans="1:11" x14ac:dyDescent="0.3">
      <c r="A853" t="s">
        <v>519</v>
      </c>
      <c r="B853">
        <v>455554.33600000001</v>
      </c>
      <c r="C853">
        <v>489215.0675</v>
      </c>
      <c r="D853">
        <v>13321</v>
      </c>
      <c r="E853">
        <f t="shared" si="91"/>
        <v>34.198208542902186</v>
      </c>
      <c r="F853">
        <f t="shared" si="92"/>
        <v>-33660.731499999994</v>
      </c>
      <c r="G853">
        <f t="shared" si="93"/>
        <v>-7.3889608417644373E-2</v>
      </c>
      <c r="H853">
        <f t="shared" si="94"/>
        <v>-2.526892237819979</v>
      </c>
      <c r="I853">
        <f t="shared" si="95"/>
        <v>36.725100780722165</v>
      </c>
      <c r="J853" t="b">
        <f t="shared" si="96"/>
        <v>0</v>
      </c>
      <c r="K853">
        <f t="shared" si="97"/>
        <v>13321</v>
      </c>
    </row>
    <row r="854" spans="1:11" x14ac:dyDescent="0.3">
      <c r="A854" t="s">
        <v>520</v>
      </c>
      <c r="B854">
        <v>556865.20330000005</v>
      </c>
      <c r="C854">
        <v>598925.6679</v>
      </c>
      <c r="D854">
        <v>16276</v>
      </c>
      <c r="E854">
        <f t="shared" si="91"/>
        <v>34.213885678299341</v>
      </c>
      <c r="F854">
        <f t="shared" si="92"/>
        <v>-42060.464599999948</v>
      </c>
      <c r="G854">
        <f t="shared" si="93"/>
        <v>-7.5530782585710804E-2</v>
      </c>
      <c r="H854">
        <f t="shared" si="94"/>
        <v>-2.5842015605799915</v>
      </c>
      <c r="I854">
        <f t="shared" si="95"/>
        <v>36.798087238879333</v>
      </c>
      <c r="J854" t="b">
        <f t="shared" si="96"/>
        <v>0</v>
      </c>
      <c r="K854">
        <f t="shared" si="97"/>
        <v>16276</v>
      </c>
    </row>
    <row r="855" spans="1:11" x14ac:dyDescent="0.3">
      <c r="A855" s="1">
        <v>42374</v>
      </c>
      <c r="B855">
        <v>354856.04489999998</v>
      </c>
      <c r="C855">
        <v>380511.15919999999</v>
      </c>
      <c r="D855">
        <v>10388</v>
      </c>
      <c r="E855">
        <f t="shared" si="91"/>
        <v>34.160189150943395</v>
      </c>
      <c r="F855">
        <f t="shared" si="92"/>
        <v>-25655.114300000016</v>
      </c>
      <c r="G855">
        <f t="shared" si="93"/>
        <v>-7.2297244667847607E-2</v>
      </c>
      <c r="H855">
        <f t="shared" si="94"/>
        <v>-2.4696875529457074</v>
      </c>
      <c r="I855">
        <f t="shared" si="95"/>
        <v>36.629876703889103</v>
      </c>
      <c r="J855" t="b">
        <f t="shared" si="96"/>
        <v>0</v>
      </c>
      <c r="K855">
        <f t="shared" si="97"/>
        <v>10388</v>
      </c>
    </row>
    <row r="856" spans="1:11" x14ac:dyDescent="0.3">
      <c r="A856" s="1">
        <v>42405</v>
      </c>
      <c r="B856">
        <v>283284.58130000002</v>
      </c>
      <c r="C856">
        <v>304997.8518</v>
      </c>
      <c r="D856">
        <v>8298</v>
      </c>
      <c r="E856">
        <f t="shared" si="91"/>
        <v>34.138898686430466</v>
      </c>
      <c r="F856">
        <f t="shared" si="92"/>
        <v>-21713.270499999984</v>
      </c>
      <c r="G856">
        <f t="shared" si="93"/>
        <v>-7.6648260912603308E-2</v>
      </c>
      <c r="H856">
        <f t="shared" si="94"/>
        <v>-2.6166872137864559</v>
      </c>
      <c r="I856">
        <f t="shared" si="95"/>
        <v>36.755585900216921</v>
      </c>
      <c r="J856" t="b">
        <f t="shared" si="96"/>
        <v>0</v>
      </c>
      <c r="K856">
        <f t="shared" si="97"/>
        <v>8298</v>
      </c>
    </row>
    <row r="857" spans="1:11" x14ac:dyDescent="0.3">
      <c r="A857" s="1">
        <v>42434</v>
      </c>
      <c r="B857">
        <v>297500.674</v>
      </c>
      <c r="C857">
        <v>319786.35950000002</v>
      </c>
      <c r="D857">
        <v>8717</v>
      </c>
      <c r="E857">
        <f t="shared" si="91"/>
        <v>34.128791327291502</v>
      </c>
      <c r="F857">
        <f t="shared" si="92"/>
        <v>-22285.685500000021</v>
      </c>
      <c r="G857">
        <f t="shared" si="93"/>
        <v>-7.4909697515508897E-2</v>
      </c>
      <c r="H857">
        <f t="shared" si="94"/>
        <v>-2.5565774348973278</v>
      </c>
      <c r="I857">
        <f t="shared" si="95"/>
        <v>36.68536876218883</v>
      </c>
      <c r="J857" t="b">
        <f t="shared" si="96"/>
        <v>0</v>
      </c>
      <c r="K857">
        <f t="shared" si="97"/>
        <v>8717</v>
      </c>
    </row>
    <row r="858" spans="1:11" x14ac:dyDescent="0.3">
      <c r="A858" s="1">
        <v>42465</v>
      </c>
      <c r="B858">
        <v>285968.4878</v>
      </c>
      <c r="C858">
        <v>305506.99819999997</v>
      </c>
      <c r="D858">
        <v>8364</v>
      </c>
      <c r="E858">
        <f t="shared" si="91"/>
        <v>34.190397871831657</v>
      </c>
      <c r="F858">
        <f t="shared" si="92"/>
        <v>-19538.51039999997</v>
      </c>
      <c r="G858">
        <f t="shared" si="93"/>
        <v>-6.8323998040178358E-2</v>
      </c>
      <c r="H858">
        <f t="shared" si="94"/>
        <v>-2.3360246771879503</v>
      </c>
      <c r="I858">
        <f t="shared" si="95"/>
        <v>36.526422549019607</v>
      </c>
      <c r="J858" t="b">
        <f t="shared" si="96"/>
        <v>0</v>
      </c>
      <c r="K858">
        <f t="shared" si="97"/>
        <v>8364</v>
      </c>
    </row>
    <row r="859" spans="1:11" x14ac:dyDescent="0.3">
      <c r="A859" s="1">
        <v>42495</v>
      </c>
      <c r="B859">
        <v>237946.63269999999</v>
      </c>
      <c r="C859">
        <v>254527.4155</v>
      </c>
      <c r="D859">
        <v>6968</v>
      </c>
      <c r="E859">
        <f t="shared" si="91"/>
        <v>34.148483452927671</v>
      </c>
      <c r="F859">
        <f t="shared" si="92"/>
        <v>-16580.782800000015</v>
      </c>
      <c r="G859">
        <f t="shared" si="93"/>
        <v>-6.9682779755512875E-2</v>
      </c>
      <c r="H859">
        <f t="shared" si="94"/>
        <v>-2.3795612514351276</v>
      </c>
      <c r="I859">
        <f t="shared" si="95"/>
        <v>36.528044704362799</v>
      </c>
      <c r="J859" t="b">
        <f t="shared" si="96"/>
        <v>0</v>
      </c>
      <c r="K859">
        <f t="shared" si="97"/>
        <v>6968</v>
      </c>
    </row>
    <row r="860" spans="1:11" x14ac:dyDescent="0.3">
      <c r="A860" s="1">
        <v>42526</v>
      </c>
      <c r="B860">
        <v>340851.50589999999</v>
      </c>
      <c r="C860">
        <v>364361.03289999999</v>
      </c>
      <c r="D860">
        <v>9973</v>
      </c>
      <c r="E860">
        <f t="shared" si="91"/>
        <v>34.177429650055146</v>
      </c>
      <c r="F860">
        <f t="shared" si="92"/>
        <v>-23509.527000000002</v>
      </c>
      <c r="G860">
        <f t="shared" si="93"/>
        <v>-6.8972929833254995E-2</v>
      </c>
      <c r="H860">
        <f t="shared" si="94"/>
        <v>-2.3573174571342648</v>
      </c>
      <c r="I860">
        <f t="shared" si="95"/>
        <v>36.534747107189411</v>
      </c>
      <c r="J860" t="b">
        <f t="shared" si="96"/>
        <v>0</v>
      </c>
      <c r="K860">
        <f t="shared" si="97"/>
        <v>9973</v>
      </c>
    </row>
    <row r="861" spans="1:11" x14ac:dyDescent="0.3">
      <c r="A861" s="1">
        <v>42556</v>
      </c>
      <c r="B861">
        <v>388187.60139999999</v>
      </c>
      <c r="C861">
        <v>414644.62349999999</v>
      </c>
      <c r="D861">
        <v>11363</v>
      </c>
      <c r="E861">
        <f t="shared" si="91"/>
        <v>34.162422018833055</v>
      </c>
      <c r="F861">
        <f t="shared" si="92"/>
        <v>-26457.022100000002</v>
      </c>
      <c r="G861">
        <f t="shared" si="93"/>
        <v>-6.8155247629194379E-2</v>
      </c>
      <c r="H861">
        <f t="shared" si="94"/>
        <v>-2.3283483323066108</v>
      </c>
      <c r="I861">
        <f t="shared" si="95"/>
        <v>36.490770351139666</v>
      </c>
      <c r="J861" t="b">
        <f t="shared" si="96"/>
        <v>0</v>
      </c>
      <c r="K861">
        <f t="shared" si="97"/>
        <v>11363</v>
      </c>
    </row>
    <row r="862" spans="1:11" x14ac:dyDescent="0.3">
      <c r="A862" s="1">
        <v>42587</v>
      </c>
      <c r="B862">
        <v>139178.9841</v>
      </c>
      <c r="C862">
        <v>148731.09049999999</v>
      </c>
      <c r="D862">
        <v>4074</v>
      </c>
      <c r="E862">
        <f t="shared" si="91"/>
        <v>34.162735419734908</v>
      </c>
      <c r="F862">
        <f t="shared" si="92"/>
        <v>-9552.1063999999897</v>
      </c>
      <c r="G862">
        <f t="shared" si="93"/>
        <v>-6.8631815800126894E-2</v>
      </c>
      <c r="H862">
        <f t="shared" si="94"/>
        <v>-2.3446505645557139</v>
      </c>
      <c r="I862">
        <f t="shared" si="95"/>
        <v>36.507385984290622</v>
      </c>
      <c r="J862" t="b">
        <f t="shared" si="96"/>
        <v>0</v>
      </c>
      <c r="K862">
        <f t="shared" si="97"/>
        <v>4074</v>
      </c>
    </row>
    <row r="863" spans="1:11" x14ac:dyDescent="0.3">
      <c r="A863" s="1">
        <v>42618</v>
      </c>
      <c r="B863">
        <v>66400.303050000002</v>
      </c>
      <c r="C863">
        <v>57741.73891</v>
      </c>
      <c r="D863">
        <v>1579</v>
      </c>
      <c r="E863">
        <f t="shared" si="91"/>
        <v>42.052123527549085</v>
      </c>
      <c r="F863">
        <f t="shared" si="92"/>
        <v>8658.5641400000022</v>
      </c>
      <c r="G863">
        <f t="shared" si="93"/>
        <v>0.13039946720544376</v>
      </c>
      <c r="H863">
        <f t="shared" si="94"/>
        <v>5.4835745028499119</v>
      </c>
      <c r="I863">
        <f t="shared" si="95"/>
        <v>36.568549024699173</v>
      </c>
      <c r="J863" t="b">
        <f t="shared" si="96"/>
        <v>1</v>
      </c>
      <c r="K863">
        <f t="shared" si="97"/>
        <v>1579</v>
      </c>
    </row>
    <row r="864" spans="1:11" x14ac:dyDescent="0.3">
      <c r="A864" s="1">
        <v>42648</v>
      </c>
      <c r="B864">
        <v>42723.524460000001</v>
      </c>
      <c r="C864">
        <v>37112.985059999999</v>
      </c>
      <c r="D864">
        <v>1016</v>
      </c>
      <c r="E864">
        <f t="shared" si="91"/>
        <v>42.050713051181106</v>
      </c>
      <c r="F864">
        <f t="shared" si="92"/>
        <v>5610.5394000000015</v>
      </c>
      <c r="G864">
        <f t="shared" si="93"/>
        <v>0.13132201687276249</v>
      </c>
      <c r="H864">
        <f t="shared" si="94"/>
        <v>5.5221844488189049</v>
      </c>
      <c r="I864">
        <f t="shared" si="95"/>
        <v>36.528528602362201</v>
      </c>
      <c r="J864" t="b">
        <f t="shared" si="96"/>
        <v>1</v>
      </c>
      <c r="K864">
        <f t="shared" si="97"/>
        <v>1016</v>
      </c>
    </row>
    <row r="865" spans="1:11" x14ac:dyDescent="0.3">
      <c r="A865" s="1">
        <v>42679</v>
      </c>
      <c r="B865">
        <v>35014.39948</v>
      </c>
      <c r="C865">
        <v>30393.740119999999</v>
      </c>
      <c r="D865">
        <v>832</v>
      </c>
      <c r="E865">
        <f t="shared" si="91"/>
        <v>42.084614759615384</v>
      </c>
      <c r="F865">
        <f t="shared" si="92"/>
        <v>4620.6593600000015</v>
      </c>
      <c r="G865">
        <f t="shared" si="93"/>
        <v>0.13196454683277639</v>
      </c>
      <c r="H865">
        <f t="shared" si="94"/>
        <v>5.5536771153846161</v>
      </c>
      <c r="I865">
        <f t="shared" si="95"/>
        <v>36.530937644230768</v>
      </c>
      <c r="J865" t="b">
        <f t="shared" si="96"/>
        <v>1</v>
      </c>
      <c r="K865">
        <f t="shared" si="97"/>
        <v>832</v>
      </c>
    </row>
    <row r="866" spans="1:11" x14ac:dyDescent="0.3">
      <c r="A866" s="1">
        <v>42709</v>
      </c>
      <c r="B866">
        <v>27210.406630000001</v>
      </c>
      <c r="C866">
        <v>23570.159159999999</v>
      </c>
      <c r="D866">
        <v>647</v>
      </c>
      <c r="E866">
        <f t="shared" si="91"/>
        <v>42.056269907264301</v>
      </c>
      <c r="F866">
        <f t="shared" si="92"/>
        <v>3640.2474700000021</v>
      </c>
      <c r="G866">
        <f t="shared" si="93"/>
        <v>0.13378144323600658</v>
      </c>
      <c r="H866">
        <f t="shared" si="94"/>
        <v>5.6263484853168535</v>
      </c>
      <c r="I866">
        <f t="shared" si="95"/>
        <v>36.429921421947448</v>
      </c>
      <c r="J866" t="b">
        <f t="shared" si="96"/>
        <v>1</v>
      </c>
      <c r="K866">
        <f t="shared" si="97"/>
        <v>647</v>
      </c>
    </row>
    <row r="867" spans="1:11" x14ac:dyDescent="0.3">
      <c r="A867" t="s">
        <v>521</v>
      </c>
      <c r="B867">
        <v>79840.088250000001</v>
      </c>
      <c r="C867">
        <v>69078.714139999996</v>
      </c>
      <c r="D867">
        <v>1898</v>
      </c>
      <c r="E867">
        <f t="shared" si="91"/>
        <v>42.065378424657531</v>
      </c>
      <c r="F867">
        <f t="shared" si="92"/>
        <v>10761.374110000004</v>
      </c>
      <c r="G867">
        <f t="shared" si="93"/>
        <v>0.13478660089031158</v>
      </c>
      <c r="H867">
        <f t="shared" si="94"/>
        <v>5.6698493730242348</v>
      </c>
      <c r="I867">
        <f t="shared" si="95"/>
        <v>36.395529051633297</v>
      </c>
      <c r="J867" t="b">
        <f t="shared" si="96"/>
        <v>1</v>
      </c>
      <c r="K867">
        <f t="shared" si="97"/>
        <v>1898</v>
      </c>
    </row>
    <row r="868" spans="1:11" x14ac:dyDescent="0.3">
      <c r="A868" t="s">
        <v>522</v>
      </c>
      <c r="B868">
        <v>82484.44829</v>
      </c>
      <c r="C868">
        <v>71426.011639999997</v>
      </c>
      <c r="D868">
        <v>1961</v>
      </c>
      <c r="E868">
        <f t="shared" si="91"/>
        <v>42.062441759306473</v>
      </c>
      <c r="F868">
        <f t="shared" si="92"/>
        <v>11058.436650000003</v>
      </c>
      <c r="G868">
        <f t="shared" si="93"/>
        <v>0.13406692872722617</v>
      </c>
      <c r="H868">
        <f t="shared" si="94"/>
        <v>5.6391823814380402</v>
      </c>
      <c r="I868">
        <f t="shared" si="95"/>
        <v>36.423259377868433</v>
      </c>
      <c r="J868" t="b">
        <f t="shared" si="96"/>
        <v>1</v>
      </c>
      <c r="K868">
        <f t="shared" si="97"/>
        <v>1961</v>
      </c>
    </row>
    <row r="869" spans="1:11" x14ac:dyDescent="0.3">
      <c r="A869" t="s">
        <v>523</v>
      </c>
      <c r="B869">
        <v>51497.23734</v>
      </c>
      <c r="C869">
        <v>44611.939680000003</v>
      </c>
      <c r="D869">
        <v>1224</v>
      </c>
      <c r="E869">
        <f t="shared" si="91"/>
        <v>42.072906323529409</v>
      </c>
      <c r="F869">
        <f t="shared" si="92"/>
        <v>6885.2976599999965</v>
      </c>
      <c r="G869">
        <f t="shared" si="93"/>
        <v>0.13370227250330388</v>
      </c>
      <c r="H869">
        <f t="shared" si="94"/>
        <v>5.6252431862745027</v>
      </c>
      <c r="I869">
        <f t="shared" si="95"/>
        <v>36.447663137254906</v>
      </c>
      <c r="J869" t="b">
        <f t="shared" si="96"/>
        <v>1</v>
      </c>
      <c r="K869">
        <f t="shared" si="97"/>
        <v>1224</v>
      </c>
    </row>
    <row r="870" spans="1:11" x14ac:dyDescent="0.3">
      <c r="A870" t="s">
        <v>524</v>
      </c>
      <c r="B870">
        <v>42871.832869999998</v>
      </c>
      <c r="C870">
        <v>37139.308259999998</v>
      </c>
      <c r="D870">
        <v>1019</v>
      </c>
      <c r="E870">
        <f t="shared" si="91"/>
        <v>42.072456202158975</v>
      </c>
      <c r="F870">
        <f t="shared" si="92"/>
        <v>5732.5246100000004</v>
      </c>
      <c r="G870">
        <f t="shared" si="93"/>
        <v>0.13371307514149675</v>
      </c>
      <c r="H870">
        <f t="shared" si="94"/>
        <v>5.625637497546613</v>
      </c>
      <c r="I870">
        <f t="shared" si="95"/>
        <v>36.446818704612362</v>
      </c>
      <c r="J870" t="b">
        <f t="shared" si="96"/>
        <v>1</v>
      </c>
      <c r="K870">
        <f t="shared" si="97"/>
        <v>1019</v>
      </c>
    </row>
    <row r="871" spans="1:11" x14ac:dyDescent="0.3">
      <c r="A871" t="s">
        <v>525</v>
      </c>
      <c r="B871">
        <v>39104.6391</v>
      </c>
      <c r="C871">
        <v>33890.360430000001</v>
      </c>
      <c r="D871">
        <v>930</v>
      </c>
      <c r="E871">
        <f t="shared" si="91"/>
        <v>42.047999032258062</v>
      </c>
      <c r="F871">
        <f t="shared" si="92"/>
        <v>5214.2786699999997</v>
      </c>
      <c r="G871">
        <f t="shared" si="93"/>
        <v>0.13334169014233402</v>
      </c>
      <c r="H871">
        <f t="shared" si="94"/>
        <v>5.6067512580645129</v>
      </c>
      <c r="I871">
        <f t="shared" si="95"/>
        <v>36.441247774193549</v>
      </c>
      <c r="J871" t="b">
        <f t="shared" si="96"/>
        <v>1</v>
      </c>
      <c r="K871">
        <f t="shared" si="97"/>
        <v>930</v>
      </c>
    </row>
    <row r="872" spans="1:11" x14ac:dyDescent="0.3">
      <c r="A872" t="s">
        <v>526</v>
      </c>
      <c r="B872">
        <v>34406.750010000003</v>
      </c>
      <c r="C872">
        <v>29884.330590000001</v>
      </c>
      <c r="D872">
        <v>818</v>
      </c>
      <c r="E872">
        <f t="shared" si="91"/>
        <v>42.062041577017119</v>
      </c>
      <c r="F872">
        <f t="shared" si="92"/>
        <v>4522.419420000002</v>
      </c>
      <c r="G872">
        <f t="shared" si="93"/>
        <v>0.13143988951835331</v>
      </c>
      <c r="H872">
        <f t="shared" si="94"/>
        <v>5.528630097799514</v>
      </c>
      <c r="I872">
        <f t="shared" si="95"/>
        <v>36.533411479217605</v>
      </c>
      <c r="J872" t="b">
        <f t="shared" si="96"/>
        <v>1</v>
      </c>
      <c r="K872">
        <f t="shared" si="97"/>
        <v>818</v>
      </c>
    </row>
    <row r="873" spans="1:11" x14ac:dyDescent="0.3">
      <c r="A873" t="s">
        <v>527</v>
      </c>
      <c r="B873">
        <v>39403.658560000003</v>
      </c>
      <c r="C873">
        <v>34229.63192</v>
      </c>
      <c r="D873">
        <v>937</v>
      </c>
      <c r="E873">
        <f t="shared" si="91"/>
        <v>42.052997395944509</v>
      </c>
      <c r="F873">
        <f t="shared" si="92"/>
        <v>5174.0266400000037</v>
      </c>
      <c r="G873">
        <f t="shared" si="93"/>
        <v>0.13130828022279978</v>
      </c>
      <c r="H873">
        <f t="shared" si="94"/>
        <v>5.5219067662753503</v>
      </c>
      <c r="I873">
        <f t="shared" si="95"/>
        <v>36.531090629669158</v>
      </c>
      <c r="J873" t="b">
        <f t="shared" si="96"/>
        <v>1</v>
      </c>
      <c r="K873">
        <f t="shared" si="97"/>
        <v>937</v>
      </c>
    </row>
    <row r="874" spans="1:11" x14ac:dyDescent="0.3">
      <c r="A874" t="s">
        <v>528</v>
      </c>
      <c r="B874">
        <v>96830.902419999999</v>
      </c>
      <c r="C874">
        <v>83926.003500000006</v>
      </c>
      <c r="D874">
        <v>2302</v>
      </c>
      <c r="E874">
        <f t="shared" si="91"/>
        <v>42.063815125977413</v>
      </c>
      <c r="F874">
        <f t="shared" si="92"/>
        <v>12904.898919999992</v>
      </c>
      <c r="G874">
        <f t="shared" si="93"/>
        <v>0.13327252558305749</v>
      </c>
      <c r="H874">
        <f t="shared" si="94"/>
        <v>5.6059508774978255</v>
      </c>
      <c r="I874">
        <f t="shared" si="95"/>
        <v>36.457864248479588</v>
      </c>
      <c r="J874" t="b">
        <f t="shared" si="96"/>
        <v>1</v>
      </c>
      <c r="K874">
        <f t="shared" si="97"/>
        <v>2302</v>
      </c>
    </row>
    <row r="875" spans="1:11" x14ac:dyDescent="0.3">
      <c r="A875" t="s">
        <v>529</v>
      </c>
      <c r="B875">
        <v>99380.3946</v>
      </c>
      <c r="C875">
        <v>86179.513389999993</v>
      </c>
      <c r="D875">
        <v>2363</v>
      </c>
      <c r="E875">
        <f t="shared" si="91"/>
        <v>42.056874566229368</v>
      </c>
      <c r="F875">
        <f t="shared" si="92"/>
        <v>13200.881210000007</v>
      </c>
      <c r="G875">
        <f t="shared" si="93"/>
        <v>0.13283184538693718</v>
      </c>
      <c r="H875">
        <f t="shared" si="94"/>
        <v>5.58649225983919</v>
      </c>
      <c r="I875">
        <f t="shared" si="95"/>
        <v>36.470382306390178</v>
      </c>
      <c r="J875" t="b">
        <f t="shared" si="96"/>
        <v>1</v>
      </c>
      <c r="K875">
        <f t="shared" si="97"/>
        <v>2363</v>
      </c>
    </row>
    <row r="876" spans="1:11" x14ac:dyDescent="0.3">
      <c r="A876" t="s">
        <v>530</v>
      </c>
      <c r="B876">
        <v>61656.181329999999</v>
      </c>
      <c r="C876">
        <v>53463.734559999997</v>
      </c>
      <c r="D876">
        <v>1466</v>
      </c>
      <c r="E876">
        <f t="shared" si="91"/>
        <v>42.057422462482947</v>
      </c>
      <c r="F876">
        <f t="shared" si="92"/>
        <v>8192.4467700000023</v>
      </c>
      <c r="G876">
        <f t="shared" si="93"/>
        <v>0.13287308090249517</v>
      </c>
      <c r="H876">
        <f t="shared" si="94"/>
        <v>5.5882992974079144</v>
      </c>
      <c r="I876">
        <f t="shared" si="95"/>
        <v>36.469123165075032</v>
      </c>
      <c r="J876" t="b">
        <f t="shared" si="96"/>
        <v>1</v>
      </c>
      <c r="K876">
        <f t="shared" si="97"/>
        <v>1466</v>
      </c>
    </row>
    <row r="877" spans="1:11" x14ac:dyDescent="0.3">
      <c r="A877" t="s">
        <v>531</v>
      </c>
      <c r="B877">
        <v>69163.557369999995</v>
      </c>
      <c r="C877">
        <v>59948.438710000002</v>
      </c>
      <c r="D877">
        <v>1644</v>
      </c>
      <c r="E877">
        <f t="shared" si="91"/>
        <v>42.070290371046227</v>
      </c>
      <c r="F877">
        <f t="shared" si="92"/>
        <v>9215.1186599999928</v>
      </c>
      <c r="G877">
        <f t="shared" si="93"/>
        <v>0.13323662070622602</v>
      </c>
      <c r="H877">
        <f t="shared" si="94"/>
        <v>5.6053033211678809</v>
      </c>
      <c r="I877">
        <f t="shared" si="95"/>
        <v>36.464987049878346</v>
      </c>
      <c r="J877" t="b">
        <f t="shared" si="96"/>
        <v>1</v>
      </c>
      <c r="K877">
        <f t="shared" si="97"/>
        <v>1644</v>
      </c>
    </row>
    <row r="878" spans="1:11" x14ac:dyDescent="0.3">
      <c r="A878" t="s">
        <v>532</v>
      </c>
      <c r="B878">
        <v>113112.86500000001</v>
      </c>
      <c r="C878">
        <v>117414.6989</v>
      </c>
      <c r="D878">
        <v>3224</v>
      </c>
      <c r="E878">
        <f t="shared" si="91"/>
        <v>35.084635545905712</v>
      </c>
      <c r="F878">
        <f t="shared" si="92"/>
        <v>-4301.8338999999978</v>
      </c>
      <c r="G878">
        <f t="shared" si="93"/>
        <v>-3.8031340643701297E-2</v>
      </c>
      <c r="H878">
        <f t="shared" si="94"/>
        <v>-1.334315725806448</v>
      </c>
      <c r="I878">
        <f t="shared" si="95"/>
        <v>36.41895127171216</v>
      </c>
      <c r="J878" t="b">
        <f t="shared" si="96"/>
        <v>0</v>
      </c>
      <c r="K878">
        <f t="shared" si="97"/>
        <v>3224</v>
      </c>
    </row>
    <row r="879" spans="1:11" x14ac:dyDescent="0.3">
      <c r="A879" t="s">
        <v>533</v>
      </c>
      <c r="B879">
        <v>253686.30249999999</v>
      </c>
      <c r="C879">
        <v>268974.57069999998</v>
      </c>
      <c r="D879">
        <v>7392</v>
      </c>
      <c r="E879">
        <f t="shared" si="91"/>
        <v>34.319034429112556</v>
      </c>
      <c r="F879">
        <f t="shared" si="92"/>
        <v>-15288.268199999991</v>
      </c>
      <c r="G879">
        <f t="shared" si="93"/>
        <v>-6.0264460671856701E-2</v>
      </c>
      <c r="H879">
        <f t="shared" si="94"/>
        <v>-2.0682181006493465</v>
      </c>
      <c r="I879">
        <f t="shared" si="95"/>
        <v>36.387252529761902</v>
      </c>
      <c r="J879" t="b">
        <f t="shared" si="96"/>
        <v>0</v>
      </c>
      <c r="K879">
        <f t="shared" si="97"/>
        <v>7392</v>
      </c>
    </row>
    <row r="880" spans="1:11" x14ac:dyDescent="0.3">
      <c r="A880" t="s">
        <v>534</v>
      </c>
      <c r="B880">
        <v>210305.29190000001</v>
      </c>
      <c r="C880">
        <v>223289.0846</v>
      </c>
      <c r="D880">
        <v>6138</v>
      </c>
      <c r="E880">
        <f t="shared" si="91"/>
        <v>34.262836738351254</v>
      </c>
      <c r="F880">
        <f t="shared" si="92"/>
        <v>-12983.792699999991</v>
      </c>
      <c r="G880">
        <f t="shared" si="93"/>
        <v>-6.1737831619442907E-2</v>
      </c>
      <c r="H880">
        <f t="shared" si="94"/>
        <v>-2.1153132453567949</v>
      </c>
      <c r="I880">
        <f t="shared" si="95"/>
        <v>36.378149983708049</v>
      </c>
      <c r="J880" t="b">
        <f t="shared" si="96"/>
        <v>0</v>
      </c>
      <c r="K880">
        <f t="shared" si="97"/>
        <v>6138</v>
      </c>
    </row>
    <row r="881" spans="1:11" x14ac:dyDescent="0.3">
      <c r="A881" t="s">
        <v>535</v>
      </c>
      <c r="B881">
        <v>364087.42430000001</v>
      </c>
      <c r="C881">
        <v>386499.89640000003</v>
      </c>
      <c r="D881">
        <v>10624</v>
      </c>
      <c r="E881">
        <f t="shared" si="91"/>
        <v>34.270277136671687</v>
      </c>
      <c r="F881">
        <f t="shared" si="92"/>
        <v>-22412.472100000014</v>
      </c>
      <c r="G881">
        <f t="shared" si="93"/>
        <v>-6.1557940769557125E-2</v>
      </c>
      <c r="H881">
        <f t="shared" si="94"/>
        <v>-2.1096076901355474</v>
      </c>
      <c r="I881">
        <f t="shared" si="95"/>
        <v>36.379884826807235</v>
      </c>
      <c r="J881" t="b">
        <f t="shared" si="96"/>
        <v>0</v>
      </c>
      <c r="K881">
        <f t="shared" si="97"/>
        <v>10624</v>
      </c>
    </row>
    <row r="882" spans="1:11" x14ac:dyDescent="0.3">
      <c r="A882" t="s">
        <v>536</v>
      </c>
      <c r="B882">
        <v>397480.36949999997</v>
      </c>
      <c r="C882">
        <v>421674.10190000001</v>
      </c>
      <c r="D882">
        <v>11590</v>
      </c>
      <c r="E882">
        <f t="shared" si="91"/>
        <v>34.29511384814495</v>
      </c>
      <c r="F882">
        <f t="shared" si="92"/>
        <v>-24193.732400000037</v>
      </c>
      <c r="G882">
        <f t="shared" si="93"/>
        <v>-6.0867741545158345E-2</v>
      </c>
      <c r="H882">
        <f t="shared" si="94"/>
        <v>-2.0874661259706642</v>
      </c>
      <c r="I882">
        <f t="shared" si="95"/>
        <v>36.382579974115615</v>
      </c>
      <c r="J882" t="b">
        <f t="shared" si="96"/>
        <v>0</v>
      </c>
      <c r="K882">
        <f t="shared" si="97"/>
        <v>11590</v>
      </c>
    </row>
    <row r="883" spans="1:11" x14ac:dyDescent="0.3">
      <c r="A883" t="s">
        <v>537</v>
      </c>
      <c r="B883">
        <v>204028.17679999999</v>
      </c>
      <c r="C883">
        <v>216777.31570000001</v>
      </c>
      <c r="D883">
        <v>5959</v>
      </c>
      <c r="E883">
        <f t="shared" si="91"/>
        <v>34.238660312132907</v>
      </c>
      <c r="F883">
        <f t="shared" si="92"/>
        <v>-12749.13890000002</v>
      </c>
      <c r="G883">
        <f t="shared" si="93"/>
        <v>-6.2487148098654285E-2</v>
      </c>
      <c r="H883">
        <f t="shared" si="94"/>
        <v>-2.1394762376237608</v>
      </c>
      <c r="I883">
        <f t="shared" si="95"/>
        <v>36.378136549756668</v>
      </c>
      <c r="J883" t="b">
        <f t="shared" si="96"/>
        <v>0</v>
      </c>
      <c r="K883">
        <f t="shared" si="97"/>
        <v>5959</v>
      </c>
    </row>
    <row r="884" spans="1:11" x14ac:dyDescent="0.3">
      <c r="A884" t="s">
        <v>538</v>
      </c>
      <c r="B884">
        <v>172797.9351</v>
      </c>
      <c r="C884">
        <v>183715.80720000001</v>
      </c>
      <c r="D884">
        <v>5048</v>
      </c>
      <c r="E884">
        <f t="shared" si="91"/>
        <v>34.230969710776549</v>
      </c>
      <c r="F884">
        <f t="shared" si="92"/>
        <v>-10917.872100000008</v>
      </c>
      <c r="G884">
        <f t="shared" si="93"/>
        <v>-6.3182885221873278E-2</v>
      </c>
      <c r="H884">
        <f t="shared" si="94"/>
        <v>-2.1628114302694144</v>
      </c>
      <c r="I884">
        <f t="shared" si="95"/>
        <v>36.393781141045963</v>
      </c>
      <c r="J884" t="b">
        <f t="shared" si="96"/>
        <v>0</v>
      </c>
      <c r="K884">
        <f t="shared" si="97"/>
        <v>5048</v>
      </c>
    </row>
    <row r="885" spans="1:11" x14ac:dyDescent="0.3">
      <c r="A885" t="s">
        <v>539</v>
      </c>
      <c r="B885">
        <v>258970.65410000001</v>
      </c>
      <c r="C885">
        <v>274386.01539999997</v>
      </c>
      <c r="D885">
        <v>7542</v>
      </c>
      <c r="E885">
        <f t="shared" si="91"/>
        <v>34.337132604083799</v>
      </c>
      <c r="F885">
        <f t="shared" si="92"/>
        <v>-15415.36129999996</v>
      </c>
      <c r="G885">
        <f t="shared" si="93"/>
        <v>-5.9525514014601086E-2</v>
      </c>
      <c r="H885">
        <f t="shared" si="94"/>
        <v>-2.0439354680456034</v>
      </c>
      <c r="I885">
        <f t="shared" si="95"/>
        <v>36.381068072129402</v>
      </c>
      <c r="J885" t="b">
        <f t="shared" si="96"/>
        <v>0</v>
      </c>
      <c r="K885">
        <f t="shared" si="97"/>
        <v>7542</v>
      </c>
    </row>
    <row r="886" spans="1:11" x14ac:dyDescent="0.3">
      <c r="A886" s="1">
        <v>42375</v>
      </c>
      <c r="B886">
        <v>368789.57260000001</v>
      </c>
      <c r="C886">
        <v>391923.65960000001</v>
      </c>
      <c r="D886">
        <v>10761</v>
      </c>
      <c r="E886">
        <f t="shared" si="91"/>
        <v>34.27093881609516</v>
      </c>
      <c r="F886">
        <f t="shared" si="92"/>
        <v>-23134.087</v>
      </c>
      <c r="G886">
        <f t="shared" si="93"/>
        <v>-6.2729775239854485E-2</v>
      </c>
      <c r="H886">
        <f t="shared" si="94"/>
        <v>-2.1498082891924568</v>
      </c>
      <c r="I886">
        <f t="shared" si="95"/>
        <v>36.420747105287617</v>
      </c>
      <c r="J886" t="b">
        <f t="shared" si="96"/>
        <v>0</v>
      </c>
      <c r="K886">
        <f t="shared" si="97"/>
        <v>10761</v>
      </c>
    </row>
    <row r="887" spans="1:11" x14ac:dyDescent="0.3">
      <c r="A887" s="1">
        <v>42406</v>
      </c>
      <c r="B887">
        <v>278071.38660000003</v>
      </c>
      <c r="C887">
        <v>295548.24160000001</v>
      </c>
      <c r="D887">
        <v>8120</v>
      </c>
      <c r="E887">
        <f t="shared" si="91"/>
        <v>34.245244655172414</v>
      </c>
      <c r="F887">
        <f t="shared" si="92"/>
        <v>-17476.854999999981</v>
      </c>
      <c r="G887">
        <f t="shared" si="93"/>
        <v>-6.2850245808066821E-2</v>
      </c>
      <c r="H887">
        <f t="shared" si="94"/>
        <v>-2.15232204433498</v>
      </c>
      <c r="I887">
        <f t="shared" si="95"/>
        <v>36.397566699507394</v>
      </c>
      <c r="J887" t="b">
        <f t="shared" si="96"/>
        <v>0</v>
      </c>
      <c r="K887">
        <f t="shared" si="97"/>
        <v>8120</v>
      </c>
    </row>
    <row r="888" spans="1:11" x14ac:dyDescent="0.3">
      <c r="A888" s="1">
        <v>42435</v>
      </c>
      <c r="B888">
        <v>373959.36200000002</v>
      </c>
      <c r="C888">
        <v>396324.17869999999</v>
      </c>
      <c r="D888">
        <v>10896</v>
      </c>
      <c r="E888">
        <f t="shared" si="91"/>
        <v>34.32079313509545</v>
      </c>
      <c r="F888">
        <f t="shared" si="92"/>
        <v>-22364.816699999967</v>
      </c>
      <c r="G888">
        <f t="shared" si="93"/>
        <v>-5.9805473462113685E-2</v>
      </c>
      <c r="H888">
        <f t="shared" si="94"/>
        <v>-2.0525712830396472</v>
      </c>
      <c r="I888">
        <f t="shared" si="95"/>
        <v>36.373364418135097</v>
      </c>
      <c r="J888" t="b">
        <f t="shared" si="96"/>
        <v>0</v>
      </c>
      <c r="K888">
        <f t="shared" si="97"/>
        <v>10896</v>
      </c>
    </row>
    <row r="889" spans="1:11" x14ac:dyDescent="0.3">
      <c r="A889" s="1">
        <v>42466</v>
      </c>
      <c r="B889">
        <v>402057.25290000002</v>
      </c>
      <c r="C889">
        <v>426466.13219999999</v>
      </c>
      <c r="D889">
        <v>11726</v>
      </c>
      <c r="E889">
        <f t="shared" si="91"/>
        <v>34.28767294047416</v>
      </c>
      <c r="F889">
        <f t="shared" si="92"/>
        <v>-24408.879299999971</v>
      </c>
      <c r="G889">
        <f t="shared" si="93"/>
        <v>-6.0709958902472445E-2</v>
      </c>
      <c r="H889">
        <f t="shared" si="94"/>
        <v>-2.0816032150776067</v>
      </c>
      <c r="I889">
        <f t="shared" si="95"/>
        <v>36.369276155551766</v>
      </c>
      <c r="J889" t="b">
        <f t="shared" si="96"/>
        <v>0</v>
      </c>
      <c r="K889">
        <f t="shared" si="97"/>
        <v>11726</v>
      </c>
    </row>
    <row r="890" spans="1:11" x14ac:dyDescent="0.3">
      <c r="A890" s="1">
        <v>42496</v>
      </c>
      <c r="B890">
        <v>205719.45319999999</v>
      </c>
      <c r="C890">
        <v>218408.18210000001</v>
      </c>
      <c r="D890">
        <v>6007</v>
      </c>
      <c r="E890">
        <f t="shared" si="91"/>
        <v>34.246621142000997</v>
      </c>
      <c r="F890">
        <f t="shared" si="92"/>
        <v>-12688.728900000016</v>
      </c>
      <c r="G890">
        <f t="shared" si="93"/>
        <v>-6.1679771662935846E-2</v>
      </c>
      <c r="H890">
        <f t="shared" si="94"/>
        <v>-2.1123237722656896</v>
      </c>
      <c r="I890">
        <f t="shared" si="95"/>
        <v>36.358944914266687</v>
      </c>
      <c r="J890" t="b">
        <f t="shared" si="96"/>
        <v>0</v>
      </c>
      <c r="K890">
        <f t="shared" si="97"/>
        <v>6007</v>
      </c>
    </row>
    <row r="891" spans="1:11" x14ac:dyDescent="0.3">
      <c r="A891" s="1">
        <v>42527</v>
      </c>
      <c r="B891">
        <v>177626.95009999999</v>
      </c>
      <c r="C891">
        <v>188629.7542</v>
      </c>
      <c r="D891">
        <v>5185</v>
      </c>
      <c r="E891">
        <f t="shared" si="91"/>
        <v>34.257849585342328</v>
      </c>
      <c r="F891">
        <f t="shared" si="92"/>
        <v>-11002.804100000008</v>
      </c>
      <c r="G891">
        <f t="shared" si="93"/>
        <v>-6.1943326132693696E-2</v>
      </c>
      <c r="H891">
        <f t="shared" si="94"/>
        <v>-2.1220451494696277</v>
      </c>
      <c r="I891">
        <f t="shared" si="95"/>
        <v>36.379894734811955</v>
      </c>
      <c r="J891" t="b">
        <f t="shared" si="96"/>
        <v>0</v>
      </c>
      <c r="K891">
        <f t="shared" si="97"/>
        <v>5185</v>
      </c>
    </row>
    <row r="892" spans="1:11" x14ac:dyDescent="0.3">
      <c r="A892" s="1">
        <v>42557</v>
      </c>
      <c r="B892">
        <v>70441.90741</v>
      </c>
      <c r="C892">
        <v>60910.748399999997</v>
      </c>
      <c r="D892">
        <v>1675</v>
      </c>
      <c r="E892">
        <f t="shared" si="91"/>
        <v>42.054870095522389</v>
      </c>
      <c r="F892">
        <f t="shared" si="92"/>
        <v>9531.159010000003</v>
      </c>
      <c r="G892">
        <f t="shared" si="93"/>
        <v>0.13530523747071266</v>
      </c>
      <c r="H892">
        <f t="shared" si="94"/>
        <v>5.6902441850746328</v>
      </c>
      <c r="I892">
        <f t="shared" si="95"/>
        <v>36.364625910447756</v>
      </c>
      <c r="J892" t="b">
        <f t="shared" si="96"/>
        <v>1</v>
      </c>
      <c r="K892">
        <f t="shared" si="97"/>
        <v>1675</v>
      </c>
    </row>
    <row r="893" spans="1:11" x14ac:dyDescent="0.3">
      <c r="A893" s="1">
        <v>42588</v>
      </c>
      <c r="B893">
        <v>162923.84959999999</v>
      </c>
      <c r="C893">
        <v>173292.68109999999</v>
      </c>
      <c r="D893">
        <v>4765</v>
      </c>
      <c r="E893">
        <f t="shared" si="91"/>
        <v>34.191783756558237</v>
      </c>
      <c r="F893">
        <f t="shared" si="92"/>
        <v>-10368.8315</v>
      </c>
      <c r="G893">
        <f t="shared" si="93"/>
        <v>-6.3642195574539137E-2</v>
      </c>
      <c r="H893">
        <f t="shared" si="94"/>
        <v>-2.1760401888772236</v>
      </c>
      <c r="I893">
        <f t="shared" si="95"/>
        <v>36.367823945435461</v>
      </c>
      <c r="J893" t="b">
        <f t="shared" si="96"/>
        <v>0</v>
      </c>
      <c r="K893">
        <f t="shared" si="97"/>
        <v>4765</v>
      </c>
    </row>
    <row r="894" spans="1:11" x14ac:dyDescent="0.3">
      <c r="A894" s="1">
        <v>42619</v>
      </c>
      <c r="B894">
        <v>138752.5276</v>
      </c>
      <c r="C894">
        <v>143791.47810000001</v>
      </c>
      <c r="D894">
        <v>3953</v>
      </c>
      <c r="E894">
        <f t="shared" si="91"/>
        <v>35.100563521376174</v>
      </c>
      <c r="F894">
        <f t="shared" si="92"/>
        <v>-5038.9505000000063</v>
      </c>
      <c r="G894">
        <f t="shared" si="93"/>
        <v>-3.6316098792278914E-2</v>
      </c>
      <c r="H894">
        <f t="shared" si="94"/>
        <v>-1.2747155325069528</v>
      </c>
      <c r="I894">
        <f t="shared" si="95"/>
        <v>36.375279053883126</v>
      </c>
      <c r="J894" t="b">
        <f t="shared" si="96"/>
        <v>0</v>
      </c>
      <c r="K894">
        <f t="shared" si="97"/>
        <v>3953</v>
      </c>
    </row>
    <row r="895" spans="1:11" x14ac:dyDescent="0.3">
      <c r="A895" s="1">
        <v>42649</v>
      </c>
      <c r="B895">
        <v>252458.2622</v>
      </c>
      <c r="C895">
        <v>261502.3818</v>
      </c>
      <c r="D895">
        <v>7190</v>
      </c>
      <c r="E895">
        <f t="shared" si="91"/>
        <v>35.112414770514604</v>
      </c>
      <c r="F895">
        <f t="shared" si="92"/>
        <v>-9044.1196000000054</v>
      </c>
      <c r="G895">
        <f t="shared" si="93"/>
        <v>-3.5824217124790163E-2</v>
      </c>
      <c r="H895">
        <f t="shared" si="94"/>
        <v>-1.2578747705146043</v>
      </c>
      <c r="I895">
        <f t="shared" si="95"/>
        <v>36.370289541029209</v>
      </c>
      <c r="J895" t="b">
        <f t="shared" si="96"/>
        <v>0</v>
      </c>
      <c r="K895">
        <f t="shared" si="97"/>
        <v>7190</v>
      </c>
    </row>
    <row r="896" spans="1:11" x14ac:dyDescent="0.3">
      <c r="A896" s="1">
        <v>42680</v>
      </c>
      <c r="B896">
        <v>293917.85249999998</v>
      </c>
      <c r="C896">
        <v>311853.52049999998</v>
      </c>
      <c r="D896">
        <v>8577</v>
      </c>
      <c r="E896">
        <f t="shared" si="91"/>
        <v>34.268141832808674</v>
      </c>
      <c r="F896">
        <f t="shared" si="92"/>
        <v>-17935.668000000005</v>
      </c>
      <c r="G896">
        <f t="shared" si="93"/>
        <v>-6.1022724027966303E-2</v>
      </c>
      <c r="H896">
        <f t="shared" si="94"/>
        <v>-2.0911353620146897</v>
      </c>
      <c r="I896">
        <f t="shared" si="95"/>
        <v>36.359277194823363</v>
      </c>
      <c r="J896" t="b">
        <f t="shared" si="96"/>
        <v>0</v>
      </c>
      <c r="K896">
        <f t="shared" si="97"/>
        <v>8577</v>
      </c>
    </row>
    <row r="897" spans="1:11" x14ac:dyDescent="0.3">
      <c r="A897" s="1">
        <v>42710</v>
      </c>
      <c r="B897">
        <v>138350.12179999999</v>
      </c>
      <c r="C897">
        <v>143346.6746</v>
      </c>
      <c r="D897">
        <v>3943</v>
      </c>
      <c r="E897">
        <f t="shared" si="91"/>
        <v>35.087527720010144</v>
      </c>
      <c r="F897">
        <f t="shared" si="92"/>
        <v>-4996.5528000000049</v>
      </c>
      <c r="G897">
        <f t="shared" si="93"/>
        <v>-3.6115275758289975E-2</v>
      </c>
      <c r="H897">
        <f t="shared" si="94"/>
        <v>-1.2671957392848086</v>
      </c>
      <c r="I897">
        <f t="shared" si="95"/>
        <v>36.354723459294952</v>
      </c>
      <c r="J897" t="b">
        <f t="shared" si="96"/>
        <v>0</v>
      </c>
      <c r="K897">
        <f t="shared" si="97"/>
        <v>3943</v>
      </c>
    </row>
    <row r="898" spans="1:11" x14ac:dyDescent="0.3">
      <c r="A898" t="s">
        <v>540</v>
      </c>
      <c r="B898">
        <v>130067.27559999999</v>
      </c>
      <c r="C898">
        <v>134950.56649999999</v>
      </c>
      <c r="D898">
        <v>3707</v>
      </c>
      <c r="E898">
        <f t="shared" si="91"/>
        <v>35.086937038036147</v>
      </c>
      <c r="F898">
        <f t="shared" si="92"/>
        <v>-4883.2908999999927</v>
      </c>
      <c r="G898">
        <f t="shared" si="93"/>
        <v>-3.7544346781105277E-2</v>
      </c>
      <c r="H898">
        <f t="shared" si="94"/>
        <v>-1.3173161316428335</v>
      </c>
      <c r="I898">
        <f t="shared" si="95"/>
        <v>36.404253169678981</v>
      </c>
      <c r="J898" t="b">
        <f t="shared" si="96"/>
        <v>0</v>
      </c>
      <c r="K898">
        <f t="shared" si="97"/>
        <v>3707</v>
      </c>
    </row>
    <row r="899" spans="1:11" x14ac:dyDescent="0.3">
      <c r="A899" t="s">
        <v>541</v>
      </c>
      <c r="B899">
        <v>107168.6611</v>
      </c>
      <c r="C899">
        <v>111173.15850000001</v>
      </c>
      <c r="D899">
        <v>3054</v>
      </c>
      <c r="E899">
        <f t="shared" ref="E899:E962" si="98">B899/D899</f>
        <v>35.091244629993447</v>
      </c>
      <c r="F899">
        <f t="shared" ref="F899:F962" si="99">B899-C899</f>
        <v>-4004.4974000000075</v>
      </c>
      <c r="G899">
        <f t="shared" ref="G899:H962" si="100">F899/B899</f>
        <v>-3.7366309879185454E-2</v>
      </c>
      <c r="H899">
        <f t="shared" ref="H899:H962" si="101">E899-I899</f>
        <v>-1.311230320890644</v>
      </c>
      <c r="I899">
        <f t="shared" ref="I899:I962" si="102">C899/D899</f>
        <v>36.402474950884091</v>
      </c>
      <c r="J899" t="b">
        <f t="shared" ref="J899:J962" si="103">H899&gt;0</f>
        <v>0</v>
      </c>
      <c r="K899">
        <f t="shared" ref="K899:K962" si="104">D899</f>
        <v>3054</v>
      </c>
    </row>
    <row r="900" spans="1:11" x14ac:dyDescent="0.3">
      <c r="A900" t="s">
        <v>542</v>
      </c>
      <c r="B900">
        <v>224030.55439999999</v>
      </c>
      <c r="C900">
        <v>237934.73420000001</v>
      </c>
      <c r="D900">
        <v>6541</v>
      </c>
      <c r="E900">
        <f t="shared" si="98"/>
        <v>34.250199419049075</v>
      </c>
      <c r="F900">
        <f t="shared" si="99"/>
        <v>-13904.179800000013</v>
      </c>
      <c r="G900">
        <f t="shared" si="100"/>
        <v>-6.2063765530725359E-2</v>
      </c>
      <c r="H900">
        <f t="shared" si="101"/>
        <v>-2.1256963461244496</v>
      </c>
      <c r="I900">
        <f t="shared" si="102"/>
        <v>36.375895765173524</v>
      </c>
      <c r="J900" t="b">
        <f t="shared" si="103"/>
        <v>0</v>
      </c>
      <c r="K900">
        <f t="shared" si="104"/>
        <v>6541</v>
      </c>
    </row>
    <row r="901" spans="1:11" x14ac:dyDescent="0.3">
      <c r="A901" t="s">
        <v>543</v>
      </c>
      <c r="B901">
        <v>201918.22210000001</v>
      </c>
      <c r="C901">
        <v>209095.56969999999</v>
      </c>
      <c r="D901">
        <v>5749</v>
      </c>
      <c r="E901">
        <f t="shared" si="98"/>
        <v>35.122320768829361</v>
      </c>
      <c r="F901">
        <f t="shared" si="99"/>
        <v>-7177.3475999999791</v>
      </c>
      <c r="G901">
        <f t="shared" si="100"/>
        <v>-3.5545814168497371E-2</v>
      </c>
      <c r="H901">
        <f t="shared" si="101"/>
        <v>-1.2484514872151635</v>
      </c>
      <c r="I901">
        <f t="shared" si="102"/>
        <v>36.370772256044525</v>
      </c>
      <c r="J901" t="b">
        <f t="shared" si="103"/>
        <v>0</v>
      </c>
      <c r="K901">
        <f t="shared" si="104"/>
        <v>5749</v>
      </c>
    </row>
    <row r="902" spans="1:11" x14ac:dyDescent="0.3">
      <c r="A902" t="s">
        <v>544</v>
      </c>
      <c r="B902">
        <v>329344.2683</v>
      </c>
      <c r="C902">
        <v>341253.3296</v>
      </c>
      <c r="D902">
        <v>9385</v>
      </c>
      <c r="E902">
        <f t="shared" si="98"/>
        <v>35.0926231539691</v>
      </c>
      <c r="F902">
        <f t="shared" si="99"/>
        <v>-11909.061300000001</v>
      </c>
      <c r="G902">
        <f t="shared" si="100"/>
        <v>-3.6159916677681564E-2</v>
      </c>
      <c r="H902">
        <f t="shared" si="101"/>
        <v>-1.2689463292487986</v>
      </c>
      <c r="I902">
        <f t="shared" si="102"/>
        <v>36.361569483217899</v>
      </c>
      <c r="J902" t="b">
        <f t="shared" si="103"/>
        <v>0</v>
      </c>
      <c r="K902">
        <f t="shared" si="104"/>
        <v>9385</v>
      </c>
    </row>
    <row r="903" spans="1:11" x14ac:dyDescent="0.3">
      <c r="A903" t="s">
        <v>545</v>
      </c>
      <c r="B903">
        <v>308642.97720000002</v>
      </c>
      <c r="C903">
        <v>327672.04149999999</v>
      </c>
      <c r="D903">
        <v>9012</v>
      </c>
      <c r="E903">
        <f t="shared" si="98"/>
        <v>34.248000133155792</v>
      </c>
      <c r="F903">
        <f t="shared" si="99"/>
        <v>-19029.064299999969</v>
      </c>
      <c r="G903">
        <f t="shared" si="100"/>
        <v>-6.1653968195327424E-2</v>
      </c>
      <c r="H903">
        <f t="shared" si="101"/>
        <v>-2.1115251109631572</v>
      </c>
      <c r="I903">
        <f t="shared" si="102"/>
        <v>36.359525244118949</v>
      </c>
      <c r="J903" t="b">
        <f t="shared" si="103"/>
        <v>0</v>
      </c>
      <c r="K903">
        <f t="shared" si="104"/>
        <v>9012</v>
      </c>
    </row>
    <row r="904" spans="1:11" x14ac:dyDescent="0.3">
      <c r="A904" t="s">
        <v>546</v>
      </c>
      <c r="B904">
        <v>134472.40659999999</v>
      </c>
      <c r="C904">
        <v>139385.8762</v>
      </c>
      <c r="D904">
        <v>3831</v>
      </c>
      <c r="E904">
        <f t="shared" si="98"/>
        <v>35.101124145131813</v>
      </c>
      <c r="F904">
        <f t="shared" si="99"/>
        <v>-4913.4696000000113</v>
      </c>
      <c r="G904">
        <f t="shared" si="100"/>
        <v>-3.6538868636563922E-2</v>
      </c>
      <c r="H904">
        <f t="shared" si="101"/>
        <v>-1.2825553641346943</v>
      </c>
      <c r="I904">
        <f t="shared" si="102"/>
        <v>36.383679509266507</v>
      </c>
      <c r="J904" t="b">
        <f t="shared" si="103"/>
        <v>0</v>
      </c>
      <c r="K904">
        <f t="shared" si="104"/>
        <v>3831</v>
      </c>
    </row>
    <row r="905" spans="1:11" x14ac:dyDescent="0.3">
      <c r="A905" t="s">
        <v>547</v>
      </c>
      <c r="B905">
        <v>143809.7206</v>
      </c>
      <c r="C905">
        <v>148953.91089999999</v>
      </c>
      <c r="D905">
        <v>4097</v>
      </c>
      <c r="E905">
        <f t="shared" si="98"/>
        <v>35.10122543324384</v>
      </c>
      <c r="F905">
        <f t="shared" si="99"/>
        <v>-5144.1902999999875</v>
      </c>
      <c r="G905">
        <f t="shared" si="100"/>
        <v>-3.5770810752830208E-2</v>
      </c>
      <c r="H905">
        <f t="shared" si="101"/>
        <v>-1.2555992921649946</v>
      </c>
      <c r="I905">
        <f t="shared" si="102"/>
        <v>36.356824725408835</v>
      </c>
      <c r="J905" t="b">
        <f t="shared" si="103"/>
        <v>0</v>
      </c>
      <c r="K905">
        <f t="shared" si="104"/>
        <v>4097</v>
      </c>
    </row>
    <row r="906" spans="1:11" x14ac:dyDescent="0.3">
      <c r="A906" t="s">
        <v>548</v>
      </c>
      <c r="B906">
        <v>123252.1511</v>
      </c>
      <c r="C906">
        <v>127533.00930000001</v>
      </c>
      <c r="D906">
        <v>3509</v>
      </c>
      <c r="E906">
        <f t="shared" si="98"/>
        <v>35.124579965802226</v>
      </c>
      <c r="F906">
        <f t="shared" si="99"/>
        <v>-4280.8582000000024</v>
      </c>
      <c r="G906">
        <f t="shared" si="100"/>
        <v>-3.4732523220034915E-2</v>
      </c>
      <c r="H906">
        <f t="shared" si="101"/>
        <v>-1.2199652892561943</v>
      </c>
      <c r="I906">
        <f t="shared" si="102"/>
        <v>36.344545255058421</v>
      </c>
      <c r="J906" t="b">
        <f t="shared" si="103"/>
        <v>0</v>
      </c>
      <c r="K906">
        <f t="shared" si="104"/>
        <v>3509</v>
      </c>
    </row>
    <row r="907" spans="1:11" x14ac:dyDescent="0.3">
      <c r="A907" t="s">
        <v>549</v>
      </c>
      <c r="B907">
        <v>40067.151210000004</v>
      </c>
      <c r="C907">
        <v>34559.084519999997</v>
      </c>
      <c r="D907">
        <v>953</v>
      </c>
      <c r="E907">
        <f t="shared" si="98"/>
        <v>42.043180703043028</v>
      </c>
      <c r="F907">
        <f t="shared" si="99"/>
        <v>5508.0666900000069</v>
      </c>
      <c r="G907">
        <f t="shared" si="100"/>
        <v>0.13747088384525072</v>
      </c>
      <c r="H907">
        <f t="shared" si="101"/>
        <v>5.7797132109129166</v>
      </c>
      <c r="I907">
        <f t="shared" si="102"/>
        <v>36.263467492130111</v>
      </c>
      <c r="J907" t="b">
        <f t="shared" si="103"/>
        <v>1</v>
      </c>
      <c r="K907">
        <f t="shared" si="104"/>
        <v>953</v>
      </c>
    </row>
    <row r="908" spans="1:11" x14ac:dyDescent="0.3">
      <c r="A908" t="s">
        <v>550</v>
      </c>
      <c r="B908">
        <v>143752.73680000001</v>
      </c>
      <c r="C908">
        <v>155659.5337</v>
      </c>
      <c r="D908">
        <v>4305</v>
      </c>
      <c r="E908">
        <f t="shared" si="98"/>
        <v>33.392041068524975</v>
      </c>
      <c r="F908">
        <f t="shared" si="99"/>
        <v>-11906.796899999987</v>
      </c>
      <c r="G908">
        <f t="shared" si="100"/>
        <v>-8.2828314542391271E-2</v>
      </c>
      <c r="H908">
        <f t="shared" si="101"/>
        <v>-2.7658064808362326</v>
      </c>
      <c r="I908">
        <f t="shared" si="102"/>
        <v>36.157847549361207</v>
      </c>
      <c r="J908" t="b">
        <f t="shared" si="103"/>
        <v>0</v>
      </c>
      <c r="K908">
        <f t="shared" si="104"/>
        <v>4305</v>
      </c>
    </row>
    <row r="909" spans="1:11" x14ac:dyDescent="0.3">
      <c r="A909" t="s">
        <v>551</v>
      </c>
      <c r="B909">
        <v>389904.0086</v>
      </c>
      <c r="C909">
        <v>422372.58159999998</v>
      </c>
      <c r="D909">
        <v>11667</v>
      </c>
      <c r="E909">
        <f t="shared" si="98"/>
        <v>33.419388754607013</v>
      </c>
      <c r="F909">
        <f t="shared" si="99"/>
        <v>-32468.572999999975</v>
      </c>
      <c r="G909">
        <f t="shared" si="100"/>
        <v>-8.3273247475917272E-2</v>
      </c>
      <c r="H909">
        <f t="shared" si="101"/>
        <v>-2.7829410302562749</v>
      </c>
      <c r="I909">
        <f t="shared" si="102"/>
        <v>36.202329784863288</v>
      </c>
      <c r="J909" t="b">
        <f t="shared" si="103"/>
        <v>0</v>
      </c>
      <c r="K909">
        <f t="shared" si="104"/>
        <v>11667</v>
      </c>
    </row>
    <row r="910" spans="1:11" x14ac:dyDescent="0.3">
      <c r="A910" t="s">
        <v>552</v>
      </c>
      <c r="B910">
        <v>461280.7856</v>
      </c>
      <c r="C910">
        <v>498910.32900000003</v>
      </c>
      <c r="D910">
        <v>13793</v>
      </c>
      <c r="E910">
        <f t="shared" si="98"/>
        <v>33.443107779308342</v>
      </c>
      <c r="F910">
        <f t="shared" si="99"/>
        <v>-37629.543400000024</v>
      </c>
      <c r="G910">
        <f t="shared" si="100"/>
        <v>-8.1576221196931697E-2</v>
      </c>
      <c r="H910">
        <f t="shared" si="101"/>
        <v>-2.7281623577176859</v>
      </c>
      <c r="I910">
        <f t="shared" si="102"/>
        <v>36.171270137026028</v>
      </c>
      <c r="J910" t="b">
        <f t="shared" si="103"/>
        <v>0</v>
      </c>
      <c r="K910">
        <f t="shared" si="104"/>
        <v>13793</v>
      </c>
    </row>
    <row r="911" spans="1:11" x14ac:dyDescent="0.3">
      <c r="A911" t="s">
        <v>553</v>
      </c>
      <c r="B911">
        <v>221578.69680000001</v>
      </c>
      <c r="C911">
        <v>240449.62229999999</v>
      </c>
      <c r="D911">
        <v>6641</v>
      </c>
      <c r="E911">
        <f t="shared" si="98"/>
        <v>33.36526077397982</v>
      </c>
      <c r="F911">
        <f t="shared" si="99"/>
        <v>-18870.925499999983</v>
      </c>
      <c r="G911">
        <f t="shared" si="100"/>
        <v>-8.516579333902817E-2</v>
      </c>
      <c r="H911">
        <f t="shared" si="101"/>
        <v>-2.8415789037795491</v>
      </c>
      <c r="I911">
        <f t="shared" si="102"/>
        <v>36.206839677759369</v>
      </c>
      <c r="J911" t="b">
        <f t="shared" si="103"/>
        <v>0</v>
      </c>
      <c r="K911">
        <f t="shared" si="104"/>
        <v>6641</v>
      </c>
    </row>
    <row r="912" spans="1:11" x14ac:dyDescent="0.3">
      <c r="A912" t="s">
        <v>554</v>
      </c>
      <c r="B912">
        <v>253702.223</v>
      </c>
      <c r="C912">
        <v>274426.08029999997</v>
      </c>
      <c r="D912">
        <v>7593</v>
      </c>
      <c r="E912">
        <f t="shared" si="98"/>
        <v>33.412646253127882</v>
      </c>
      <c r="F912">
        <f t="shared" si="99"/>
        <v>-20723.857299999974</v>
      </c>
      <c r="G912">
        <f t="shared" si="100"/>
        <v>-8.1685753695583396E-2</v>
      </c>
      <c r="H912">
        <f t="shared" si="101"/>
        <v>-2.7293371921506591</v>
      </c>
      <c r="I912">
        <f t="shared" si="102"/>
        <v>36.141983445278541</v>
      </c>
      <c r="J912" t="b">
        <f t="shared" si="103"/>
        <v>0</v>
      </c>
      <c r="K912">
        <f t="shared" si="104"/>
        <v>7593</v>
      </c>
    </row>
    <row r="913" spans="1:11" x14ac:dyDescent="0.3">
      <c r="A913" t="s">
        <v>555</v>
      </c>
      <c r="B913">
        <v>200616.07620000001</v>
      </c>
      <c r="C913">
        <v>217104.5797</v>
      </c>
      <c r="D913">
        <v>6007</v>
      </c>
      <c r="E913">
        <f t="shared" si="98"/>
        <v>33.397049475611787</v>
      </c>
      <c r="F913">
        <f t="shared" si="99"/>
        <v>-16488.503499999992</v>
      </c>
      <c r="G913">
        <f t="shared" si="100"/>
        <v>-8.2189343009391347E-2</v>
      </c>
      <c r="H913">
        <f t="shared" si="101"/>
        <v>-2.7448815548526682</v>
      </c>
      <c r="I913">
        <f t="shared" si="102"/>
        <v>36.141931030464455</v>
      </c>
      <c r="J913" t="b">
        <f t="shared" si="103"/>
        <v>0</v>
      </c>
      <c r="K913">
        <f t="shared" si="104"/>
        <v>6007</v>
      </c>
    </row>
    <row r="914" spans="1:11" x14ac:dyDescent="0.3">
      <c r="A914" t="s">
        <v>556</v>
      </c>
      <c r="B914">
        <v>211700.8132</v>
      </c>
      <c r="C914">
        <v>229023.8107</v>
      </c>
      <c r="D914">
        <v>6345</v>
      </c>
      <c r="E914">
        <f t="shared" si="98"/>
        <v>33.364982379826635</v>
      </c>
      <c r="F914">
        <f t="shared" si="99"/>
        <v>-17322.997499999998</v>
      </c>
      <c r="G914">
        <f t="shared" si="100"/>
        <v>-8.1827732440661202E-2</v>
      </c>
      <c r="H914">
        <f t="shared" si="101"/>
        <v>-2.7301808510638281</v>
      </c>
      <c r="I914">
        <f t="shared" si="102"/>
        <v>36.095163230890464</v>
      </c>
      <c r="J914" t="b">
        <f t="shared" si="103"/>
        <v>0</v>
      </c>
      <c r="K914">
        <f t="shared" si="104"/>
        <v>6345</v>
      </c>
    </row>
    <row r="915" spans="1:11" x14ac:dyDescent="0.3">
      <c r="A915" t="s">
        <v>557</v>
      </c>
      <c r="B915">
        <v>282757.71139999997</v>
      </c>
      <c r="C915">
        <v>305894.1801</v>
      </c>
      <c r="D915">
        <v>8482</v>
      </c>
      <c r="E915">
        <f t="shared" si="98"/>
        <v>33.336207427493513</v>
      </c>
      <c r="F915">
        <f t="shared" si="99"/>
        <v>-23136.468700000027</v>
      </c>
      <c r="G915">
        <f t="shared" si="100"/>
        <v>-8.1824359751130837E-2</v>
      </c>
      <c r="H915">
        <f t="shared" si="101"/>
        <v>-2.7277138292855483</v>
      </c>
      <c r="I915">
        <f t="shared" si="102"/>
        <v>36.063921256779061</v>
      </c>
      <c r="J915" t="b">
        <f t="shared" si="103"/>
        <v>0</v>
      </c>
      <c r="K915">
        <f t="shared" si="104"/>
        <v>8482</v>
      </c>
    </row>
    <row r="916" spans="1:11" x14ac:dyDescent="0.3">
      <c r="A916" s="1">
        <v>42376</v>
      </c>
      <c r="B916">
        <v>479010.15669999999</v>
      </c>
      <c r="C916">
        <v>517742.19260000001</v>
      </c>
      <c r="D916">
        <v>14344</v>
      </c>
      <c r="E916">
        <f t="shared" si="98"/>
        <v>33.39446156581149</v>
      </c>
      <c r="F916">
        <f t="shared" si="99"/>
        <v>-38732.035900000017</v>
      </c>
      <c r="G916">
        <f t="shared" si="100"/>
        <v>-8.0858485688138679E-2</v>
      </c>
      <c r="H916">
        <f t="shared" si="101"/>
        <v>-2.7002255925822638</v>
      </c>
      <c r="I916">
        <f t="shared" si="102"/>
        <v>36.094687158393754</v>
      </c>
      <c r="J916" t="b">
        <f t="shared" si="103"/>
        <v>0</v>
      </c>
      <c r="K916">
        <f t="shared" si="104"/>
        <v>14344</v>
      </c>
    </row>
    <row r="917" spans="1:11" x14ac:dyDescent="0.3">
      <c r="A917" s="1">
        <v>42407</v>
      </c>
      <c r="B917">
        <v>454543.28580000001</v>
      </c>
      <c r="C917">
        <v>490487.0246</v>
      </c>
      <c r="D917">
        <v>13609</v>
      </c>
      <c r="E917">
        <f t="shared" si="98"/>
        <v>33.400197354691748</v>
      </c>
      <c r="F917">
        <f t="shared" si="99"/>
        <v>-35943.738799999992</v>
      </c>
      <c r="G917">
        <f t="shared" si="100"/>
        <v>-7.9076602653449624E-2</v>
      </c>
      <c r="H917">
        <f t="shared" si="101"/>
        <v>-2.6411741347637587</v>
      </c>
      <c r="I917">
        <f t="shared" si="102"/>
        <v>36.041371489455507</v>
      </c>
      <c r="J917" t="b">
        <f t="shared" si="103"/>
        <v>0</v>
      </c>
      <c r="K917">
        <f t="shared" si="104"/>
        <v>13609</v>
      </c>
    </row>
    <row r="918" spans="1:11" x14ac:dyDescent="0.3">
      <c r="A918" s="1">
        <v>42436</v>
      </c>
      <c r="B918">
        <v>242185.1807</v>
      </c>
      <c r="C918">
        <v>261534.91200000001</v>
      </c>
      <c r="D918">
        <v>7259</v>
      </c>
      <c r="E918">
        <f t="shared" si="98"/>
        <v>33.363435831381736</v>
      </c>
      <c r="F918">
        <f t="shared" si="99"/>
        <v>-19349.731300000014</v>
      </c>
      <c r="G918">
        <f t="shared" si="100"/>
        <v>-7.9896429847906111E-2</v>
      </c>
      <c r="H918">
        <f t="shared" si="101"/>
        <v>-2.6656194103871016</v>
      </c>
      <c r="I918">
        <f t="shared" si="102"/>
        <v>36.029055241768837</v>
      </c>
      <c r="J918" t="b">
        <f t="shared" si="103"/>
        <v>0</v>
      </c>
      <c r="K918">
        <f t="shared" si="104"/>
        <v>7259</v>
      </c>
    </row>
    <row r="919" spans="1:11" x14ac:dyDescent="0.3">
      <c r="A919" s="1">
        <v>42467</v>
      </c>
      <c r="B919">
        <v>281531.68560000003</v>
      </c>
      <c r="C919">
        <v>304052.47700000001</v>
      </c>
      <c r="D919">
        <v>8431</v>
      </c>
      <c r="E919">
        <f t="shared" si="98"/>
        <v>33.392442841893015</v>
      </c>
      <c r="F919">
        <f t="shared" si="99"/>
        <v>-22520.791399999987</v>
      </c>
      <c r="G919">
        <f t="shared" si="100"/>
        <v>-7.9993807276092926E-2</v>
      </c>
      <c r="H919">
        <f t="shared" si="101"/>
        <v>-2.6711886371723423</v>
      </c>
      <c r="I919">
        <f t="shared" si="102"/>
        <v>36.063631479065357</v>
      </c>
      <c r="J919" t="b">
        <f t="shared" si="103"/>
        <v>0</v>
      </c>
      <c r="K919">
        <f t="shared" si="104"/>
        <v>8431</v>
      </c>
    </row>
    <row r="920" spans="1:11" x14ac:dyDescent="0.3">
      <c r="A920" s="1">
        <v>42497</v>
      </c>
      <c r="B920">
        <v>219363.22010000001</v>
      </c>
      <c r="C920">
        <v>237026.3505</v>
      </c>
      <c r="D920">
        <v>6577</v>
      </c>
      <c r="E920">
        <f t="shared" si="98"/>
        <v>33.353081967462373</v>
      </c>
      <c r="F920">
        <f t="shared" si="99"/>
        <v>-17663.130399999995</v>
      </c>
      <c r="G920">
        <f t="shared" si="100"/>
        <v>-8.0520017858727602E-2</v>
      </c>
      <c r="H920">
        <f t="shared" si="101"/>
        <v>-2.6855907556636751</v>
      </c>
      <c r="I920">
        <f t="shared" si="102"/>
        <v>36.038672723126048</v>
      </c>
      <c r="J920" t="b">
        <f t="shared" si="103"/>
        <v>0</v>
      </c>
      <c r="K920">
        <f t="shared" si="104"/>
        <v>6577</v>
      </c>
    </row>
    <row r="921" spans="1:11" x14ac:dyDescent="0.3">
      <c r="A921" s="1">
        <v>42528</v>
      </c>
      <c r="B921">
        <v>204005.5822</v>
      </c>
      <c r="C921">
        <v>219722.89499999999</v>
      </c>
      <c r="D921">
        <v>6098</v>
      </c>
      <c r="E921">
        <f t="shared" si="98"/>
        <v>33.454506756313549</v>
      </c>
      <c r="F921">
        <f t="shared" si="99"/>
        <v>-15717.312799999985</v>
      </c>
      <c r="G921">
        <f t="shared" si="100"/>
        <v>-7.7043542782036609E-2</v>
      </c>
      <c r="H921">
        <f t="shared" si="101"/>
        <v>-2.5774537225319705</v>
      </c>
      <c r="I921">
        <f t="shared" si="102"/>
        <v>36.031960478845519</v>
      </c>
      <c r="J921" t="b">
        <f t="shared" si="103"/>
        <v>0</v>
      </c>
      <c r="K921">
        <f t="shared" si="104"/>
        <v>6098</v>
      </c>
    </row>
    <row r="922" spans="1:11" x14ac:dyDescent="0.3">
      <c r="A922" s="1">
        <v>42558</v>
      </c>
      <c r="B922">
        <v>69579.068459999995</v>
      </c>
      <c r="C922">
        <v>59598.917800000003</v>
      </c>
      <c r="D922">
        <v>1654</v>
      </c>
      <c r="E922">
        <f t="shared" si="98"/>
        <v>42.067151426844013</v>
      </c>
      <c r="F922">
        <f t="shared" si="99"/>
        <v>9980.1506599999921</v>
      </c>
      <c r="G922">
        <f t="shared" si="100"/>
        <v>0.14343610630167372</v>
      </c>
      <c r="H922">
        <f t="shared" si="101"/>
        <v>6.0339484038694025</v>
      </c>
      <c r="I922">
        <f t="shared" si="102"/>
        <v>36.033203022974611</v>
      </c>
      <c r="J922" t="b">
        <f t="shared" si="103"/>
        <v>1</v>
      </c>
      <c r="K922">
        <f t="shared" si="104"/>
        <v>1654</v>
      </c>
    </row>
    <row r="923" spans="1:11" x14ac:dyDescent="0.3">
      <c r="A923" s="1">
        <v>42589</v>
      </c>
      <c r="B923">
        <v>87184.740030000001</v>
      </c>
      <c r="C923">
        <v>74654.520420000001</v>
      </c>
      <c r="D923">
        <v>2073</v>
      </c>
      <c r="E923">
        <f t="shared" si="98"/>
        <v>42.057279319826335</v>
      </c>
      <c r="F923">
        <f t="shared" si="99"/>
        <v>12530.21961</v>
      </c>
      <c r="G923">
        <f t="shared" si="100"/>
        <v>0.14372033002207027</v>
      </c>
      <c r="H923">
        <f t="shared" si="101"/>
        <v>6.0444860636758264</v>
      </c>
      <c r="I923">
        <f t="shared" si="102"/>
        <v>36.012793256150509</v>
      </c>
      <c r="J923" t="b">
        <f t="shared" si="103"/>
        <v>1</v>
      </c>
      <c r="K923">
        <f t="shared" si="104"/>
        <v>2073</v>
      </c>
    </row>
    <row r="924" spans="1:11" x14ac:dyDescent="0.3">
      <c r="A924" s="1">
        <v>42620</v>
      </c>
      <c r="B924">
        <v>78700.436050000004</v>
      </c>
      <c r="C924">
        <v>67367.383239999996</v>
      </c>
      <c r="D924">
        <v>1871</v>
      </c>
      <c r="E924">
        <f t="shared" si="98"/>
        <v>42.063300935328705</v>
      </c>
      <c r="F924">
        <f t="shared" si="99"/>
        <v>11333.052810000008</v>
      </c>
      <c r="G924">
        <f t="shared" si="100"/>
        <v>0.14400241445676218</v>
      </c>
      <c r="H924">
        <f t="shared" si="101"/>
        <v>6.0572168947087164</v>
      </c>
      <c r="I924">
        <f t="shared" si="102"/>
        <v>36.006084040619989</v>
      </c>
      <c r="J924" t="b">
        <f t="shared" si="103"/>
        <v>1</v>
      </c>
      <c r="K924">
        <f t="shared" si="104"/>
        <v>1871</v>
      </c>
    </row>
    <row r="925" spans="1:11" x14ac:dyDescent="0.3">
      <c r="A925" s="1">
        <v>42650</v>
      </c>
      <c r="B925">
        <v>39809.559090000002</v>
      </c>
      <c r="C925">
        <v>34091.569660000001</v>
      </c>
      <c r="D925">
        <v>946</v>
      </c>
      <c r="E925">
        <f t="shared" si="98"/>
        <v>42.081986353065538</v>
      </c>
      <c r="F925">
        <f t="shared" si="99"/>
        <v>5717.9894300000014</v>
      </c>
      <c r="G925">
        <f t="shared" si="100"/>
        <v>0.14363357848483022</v>
      </c>
      <c r="H925">
        <f t="shared" si="101"/>
        <v>6.0443862896405918</v>
      </c>
      <c r="I925">
        <f t="shared" si="102"/>
        <v>36.037600063424946</v>
      </c>
      <c r="J925" t="b">
        <f t="shared" si="103"/>
        <v>1</v>
      </c>
      <c r="K925">
        <f t="shared" si="104"/>
        <v>946</v>
      </c>
    </row>
    <row r="926" spans="1:11" x14ac:dyDescent="0.3">
      <c r="A926" s="1">
        <v>42681</v>
      </c>
      <c r="B926">
        <v>45839.238770000004</v>
      </c>
      <c r="C926">
        <v>39231.195370000001</v>
      </c>
      <c r="D926">
        <v>1090</v>
      </c>
      <c r="E926">
        <f t="shared" si="98"/>
        <v>42.054347495412848</v>
      </c>
      <c r="F926">
        <f t="shared" si="99"/>
        <v>6608.0434000000023</v>
      </c>
      <c r="G926">
        <f t="shared" si="100"/>
        <v>0.14415691833706257</v>
      </c>
      <c r="H926">
        <f t="shared" si="101"/>
        <v>6.0624251376146816</v>
      </c>
      <c r="I926">
        <f t="shared" si="102"/>
        <v>35.991922357798167</v>
      </c>
      <c r="J926" t="b">
        <f t="shared" si="103"/>
        <v>1</v>
      </c>
      <c r="K926">
        <f t="shared" si="104"/>
        <v>1090</v>
      </c>
    </row>
    <row r="927" spans="1:11" x14ac:dyDescent="0.3">
      <c r="A927" s="1">
        <v>42711</v>
      </c>
      <c r="B927">
        <v>36851.763749999998</v>
      </c>
      <c r="C927">
        <v>31574.32547</v>
      </c>
      <c r="D927">
        <v>876</v>
      </c>
      <c r="E927">
        <f t="shared" si="98"/>
        <v>42.068223458904107</v>
      </c>
      <c r="F927">
        <f t="shared" si="99"/>
        <v>5277.4382799999985</v>
      </c>
      <c r="G927">
        <f t="shared" si="100"/>
        <v>0.14320721026547878</v>
      </c>
      <c r="H927">
        <f t="shared" si="101"/>
        <v>6.0244729223744287</v>
      </c>
      <c r="I927">
        <f t="shared" si="102"/>
        <v>36.043750536529679</v>
      </c>
      <c r="J927" t="b">
        <f t="shared" si="103"/>
        <v>1</v>
      </c>
      <c r="K927">
        <f t="shared" si="104"/>
        <v>876</v>
      </c>
    </row>
    <row r="928" spans="1:11" x14ac:dyDescent="0.3">
      <c r="A928" t="s">
        <v>558</v>
      </c>
      <c r="B928">
        <v>33225.670469999997</v>
      </c>
      <c r="C928">
        <v>28489.081399999999</v>
      </c>
      <c r="D928">
        <v>790</v>
      </c>
      <c r="E928">
        <f t="shared" si="98"/>
        <v>42.057810721518983</v>
      </c>
      <c r="F928">
        <f t="shared" si="99"/>
        <v>4736.5890699999982</v>
      </c>
      <c r="G928">
        <f t="shared" si="100"/>
        <v>0.14255811855705794</v>
      </c>
      <c r="H928">
        <f t="shared" si="101"/>
        <v>5.9956823670886052</v>
      </c>
      <c r="I928">
        <f t="shared" si="102"/>
        <v>36.062128354430378</v>
      </c>
      <c r="J928" t="b">
        <f t="shared" si="103"/>
        <v>1</v>
      </c>
      <c r="K928">
        <f t="shared" si="104"/>
        <v>790</v>
      </c>
    </row>
    <row r="929" spans="1:11" x14ac:dyDescent="0.3">
      <c r="A929" t="s">
        <v>559</v>
      </c>
      <c r="B929">
        <v>30423.391459999999</v>
      </c>
      <c r="C929">
        <v>26053.796719999998</v>
      </c>
      <c r="D929">
        <v>723</v>
      </c>
      <c r="E929">
        <f t="shared" si="98"/>
        <v>42.079379612724757</v>
      </c>
      <c r="F929">
        <f t="shared" si="99"/>
        <v>4369.5947400000005</v>
      </c>
      <c r="G929">
        <f t="shared" si="100"/>
        <v>0.14362615508350038</v>
      </c>
      <c r="H929">
        <f t="shared" si="101"/>
        <v>6.0436995020746878</v>
      </c>
      <c r="I929">
        <f t="shared" si="102"/>
        <v>36.03568011065007</v>
      </c>
      <c r="J929" t="b">
        <f t="shared" si="103"/>
        <v>1</v>
      </c>
      <c r="K929">
        <f t="shared" si="104"/>
        <v>723</v>
      </c>
    </row>
    <row r="930" spans="1:11" x14ac:dyDescent="0.3">
      <c r="A930" t="s">
        <v>560</v>
      </c>
      <c r="B930">
        <v>80345.637659999993</v>
      </c>
      <c r="C930">
        <v>68788.094540000006</v>
      </c>
      <c r="D930">
        <v>1910</v>
      </c>
      <c r="E930">
        <f t="shared" si="98"/>
        <v>42.065778879581146</v>
      </c>
      <c r="F930">
        <f t="shared" si="99"/>
        <v>11557.543119999988</v>
      </c>
      <c r="G930">
        <f t="shared" si="100"/>
        <v>0.14384779879286341</v>
      </c>
      <c r="H930">
        <f t="shared" si="101"/>
        <v>6.0510696963350696</v>
      </c>
      <c r="I930">
        <f t="shared" si="102"/>
        <v>36.014709183246076</v>
      </c>
      <c r="J930" t="b">
        <f t="shared" si="103"/>
        <v>1</v>
      </c>
      <c r="K930">
        <f t="shared" si="104"/>
        <v>1910</v>
      </c>
    </row>
    <row r="931" spans="1:11" x14ac:dyDescent="0.3">
      <c r="A931" t="s">
        <v>561</v>
      </c>
      <c r="B931">
        <v>95297.338629999998</v>
      </c>
      <c r="C931">
        <v>81655.857730000003</v>
      </c>
      <c r="D931">
        <v>2266</v>
      </c>
      <c r="E931">
        <f t="shared" si="98"/>
        <v>42.055312722859661</v>
      </c>
      <c r="F931">
        <f t="shared" si="99"/>
        <v>13641.480899999995</v>
      </c>
      <c r="G931">
        <f t="shared" si="100"/>
        <v>0.14314650436319321</v>
      </c>
      <c r="H931">
        <f t="shared" si="101"/>
        <v>6.0200710061782843</v>
      </c>
      <c r="I931">
        <f t="shared" si="102"/>
        <v>36.035241716681377</v>
      </c>
      <c r="J931" t="b">
        <f t="shared" si="103"/>
        <v>1</v>
      </c>
      <c r="K931">
        <f t="shared" si="104"/>
        <v>2266</v>
      </c>
    </row>
    <row r="932" spans="1:11" x14ac:dyDescent="0.3">
      <c r="A932" t="s">
        <v>562</v>
      </c>
      <c r="B932">
        <v>45324.054530000001</v>
      </c>
      <c r="C932">
        <v>38809.808900000004</v>
      </c>
      <c r="D932">
        <v>1078</v>
      </c>
      <c r="E932">
        <f t="shared" si="98"/>
        <v>42.044577486085345</v>
      </c>
      <c r="F932">
        <f t="shared" si="99"/>
        <v>6514.2456299999976</v>
      </c>
      <c r="G932">
        <f t="shared" si="100"/>
        <v>0.14372601254568293</v>
      </c>
      <c r="H932">
        <f t="shared" si="101"/>
        <v>6.0428994712430395</v>
      </c>
      <c r="I932">
        <f t="shared" si="102"/>
        <v>36.001678014842305</v>
      </c>
      <c r="J932" t="b">
        <f t="shared" si="103"/>
        <v>1</v>
      </c>
      <c r="K932">
        <f t="shared" si="104"/>
        <v>1078</v>
      </c>
    </row>
    <row r="933" spans="1:11" x14ac:dyDescent="0.3">
      <c r="A933" t="s">
        <v>563</v>
      </c>
      <c r="B933">
        <v>51604.118410000003</v>
      </c>
      <c r="C933">
        <v>44222.784480000002</v>
      </c>
      <c r="D933">
        <v>1227</v>
      </c>
      <c r="E933">
        <f t="shared" si="98"/>
        <v>42.057146218418907</v>
      </c>
      <c r="F933">
        <f t="shared" si="99"/>
        <v>7381.3339300000007</v>
      </c>
      <c r="G933">
        <f t="shared" si="100"/>
        <v>0.14303769073922643</v>
      </c>
      <c r="H933">
        <f t="shared" si="101"/>
        <v>6.0157570741646254</v>
      </c>
      <c r="I933">
        <f t="shared" si="102"/>
        <v>36.041389144254282</v>
      </c>
      <c r="J933" t="b">
        <f t="shared" si="103"/>
        <v>1</v>
      </c>
      <c r="K933">
        <f t="shared" si="104"/>
        <v>1227</v>
      </c>
    </row>
    <row r="934" spans="1:11" x14ac:dyDescent="0.3">
      <c r="A934" t="s">
        <v>564</v>
      </c>
      <c r="B934">
        <v>37870.119030000002</v>
      </c>
      <c r="C934">
        <v>32436.795969999999</v>
      </c>
      <c r="D934">
        <v>900</v>
      </c>
      <c r="E934">
        <f t="shared" si="98"/>
        <v>42.077910033333332</v>
      </c>
      <c r="F934">
        <f t="shared" si="99"/>
        <v>5433.3230600000024</v>
      </c>
      <c r="G934">
        <f t="shared" si="100"/>
        <v>0.1434725635717127</v>
      </c>
      <c r="H934">
        <f t="shared" si="101"/>
        <v>6.0370256222222238</v>
      </c>
      <c r="I934">
        <f t="shared" si="102"/>
        <v>36.040884411111108</v>
      </c>
      <c r="J934" t="b">
        <f t="shared" si="103"/>
        <v>1</v>
      </c>
      <c r="K934">
        <f t="shared" si="104"/>
        <v>900</v>
      </c>
    </row>
    <row r="935" spans="1:11" x14ac:dyDescent="0.3">
      <c r="A935" t="s">
        <v>565</v>
      </c>
      <c r="B935">
        <v>42723.524460000001</v>
      </c>
      <c r="C935">
        <v>36607.390659999997</v>
      </c>
      <c r="D935">
        <v>1016</v>
      </c>
      <c r="E935">
        <f t="shared" si="98"/>
        <v>42.050713051181106</v>
      </c>
      <c r="F935">
        <f t="shared" si="99"/>
        <v>6116.1338000000032</v>
      </c>
      <c r="G935">
        <f t="shared" si="100"/>
        <v>0.14315611544937609</v>
      </c>
      <c r="H935">
        <f t="shared" si="101"/>
        <v>6.0198167322834735</v>
      </c>
      <c r="I935">
        <f t="shared" si="102"/>
        <v>36.030896318897632</v>
      </c>
      <c r="J935" t="b">
        <f t="shared" si="103"/>
        <v>1</v>
      </c>
      <c r="K935">
        <f t="shared" si="104"/>
        <v>1016</v>
      </c>
    </row>
    <row r="936" spans="1:11" x14ac:dyDescent="0.3">
      <c r="A936" t="s">
        <v>566</v>
      </c>
      <c r="B936">
        <v>35169.915809999999</v>
      </c>
      <c r="C936">
        <v>30133.318640000001</v>
      </c>
      <c r="D936">
        <v>836</v>
      </c>
      <c r="E936">
        <f t="shared" si="98"/>
        <v>42.069277284688994</v>
      </c>
      <c r="F936">
        <f t="shared" si="99"/>
        <v>5036.5971699999973</v>
      </c>
      <c r="G936">
        <f t="shared" si="100"/>
        <v>0.14320754127503263</v>
      </c>
      <c r="H936">
        <f t="shared" si="101"/>
        <v>6.0246377631578909</v>
      </c>
      <c r="I936">
        <f t="shared" si="102"/>
        <v>36.044639521531103</v>
      </c>
      <c r="J936" t="b">
        <f t="shared" si="103"/>
        <v>1</v>
      </c>
      <c r="K936">
        <f t="shared" si="104"/>
        <v>836</v>
      </c>
    </row>
    <row r="937" spans="1:11" x14ac:dyDescent="0.3">
      <c r="A937" t="s">
        <v>567</v>
      </c>
      <c r="B937">
        <v>61148.205009999998</v>
      </c>
      <c r="C937">
        <v>52384.447480000003</v>
      </c>
      <c r="D937">
        <v>1454</v>
      </c>
      <c r="E937">
        <f t="shared" si="98"/>
        <v>42.055161629986245</v>
      </c>
      <c r="F937">
        <f t="shared" si="99"/>
        <v>8763.7575299999953</v>
      </c>
      <c r="G937">
        <f t="shared" si="100"/>
        <v>0.14331994747134108</v>
      </c>
      <c r="H937">
        <f t="shared" si="101"/>
        <v>6.0273435557083914</v>
      </c>
      <c r="I937">
        <f t="shared" si="102"/>
        <v>36.027818074277853</v>
      </c>
      <c r="J937" t="b">
        <f t="shared" si="103"/>
        <v>1</v>
      </c>
      <c r="K937">
        <f t="shared" si="104"/>
        <v>1454</v>
      </c>
    </row>
    <row r="938" spans="1:11" x14ac:dyDescent="0.3">
      <c r="A938" t="s">
        <v>568</v>
      </c>
      <c r="B938">
        <v>77171.701799999995</v>
      </c>
      <c r="C938">
        <v>66113.832039999994</v>
      </c>
      <c r="D938">
        <v>1835</v>
      </c>
      <c r="E938">
        <f t="shared" si="98"/>
        <v>42.055423324250675</v>
      </c>
      <c r="F938">
        <f t="shared" si="99"/>
        <v>11057.869760000001</v>
      </c>
      <c r="G938">
        <f t="shared" si="100"/>
        <v>0.14328917857296755</v>
      </c>
      <c r="H938">
        <f t="shared" si="101"/>
        <v>6.0260870626702996</v>
      </c>
      <c r="I938">
        <f t="shared" si="102"/>
        <v>36.029336261580376</v>
      </c>
      <c r="J938" t="b">
        <f t="shared" si="103"/>
        <v>1</v>
      </c>
      <c r="K938">
        <f t="shared" si="104"/>
        <v>1835</v>
      </c>
    </row>
    <row r="939" spans="1:11" x14ac:dyDescent="0.3">
      <c r="A939" t="s">
        <v>569</v>
      </c>
      <c r="B939">
        <v>40881.354910000002</v>
      </c>
      <c r="C939">
        <v>35019.112639999999</v>
      </c>
      <c r="D939">
        <v>972</v>
      </c>
      <c r="E939">
        <f t="shared" si="98"/>
        <v>42.059007109053503</v>
      </c>
      <c r="F939">
        <f t="shared" si="99"/>
        <v>5862.2422700000025</v>
      </c>
      <c r="G939">
        <f t="shared" si="100"/>
        <v>0.14339647702248826</v>
      </c>
      <c r="H939">
        <f t="shared" si="101"/>
        <v>6.0311134465020615</v>
      </c>
      <c r="I939">
        <f t="shared" si="102"/>
        <v>36.027893662551442</v>
      </c>
      <c r="J939" t="b">
        <f t="shared" si="103"/>
        <v>1</v>
      </c>
      <c r="K939">
        <f t="shared" si="104"/>
        <v>972</v>
      </c>
    </row>
    <row r="940" spans="1:11" x14ac:dyDescent="0.3">
      <c r="A940" t="s">
        <v>570</v>
      </c>
      <c r="B940">
        <v>43085.595009999997</v>
      </c>
      <c r="C940">
        <v>36887.366170000001</v>
      </c>
      <c r="D940">
        <v>1024</v>
      </c>
      <c r="E940">
        <f t="shared" si="98"/>
        <v>42.075776376953122</v>
      </c>
      <c r="F940">
        <f t="shared" si="99"/>
        <v>6198.2288399999961</v>
      </c>
      <c r="G940">
        <f t="shared" si="100"/>
        <v>0.14385849466768214</v>
      </c>
      <c r="H940">
        <f t="shared" si="101"/>
        <v>6.0529578515624962</v>
      </c>
      <c r="I940">
        <f t="shared" si="102"/>
        <v>36.022818525390626</v>
      </c>
      <c r="J940" t="b">
        <f t="shared" si="103"/>
        <v>1</v>
      </c>
      <c r="K940">
        <f t="shared" si="104"/>
        <v>1024</v>
      </c>
    </row>
    <row r="941" spans="1:11" x14ac:dyDescent="0.3">
      <c r="A941" t="s">
        <v>571</v>
      </c>
      <c r="B941">
        <v>43894.993430000002</v>
      </c>
      <c r="C941">
        <v>37604.65842</v>
      </c>
      <c r="D941">
        <v>1044</v>
      </c>
      <c r="E941">
        <f t="shared" si="98"/>
        <v>42.045012863984674</v>
      </c>
      <c r="F941">
        <f t="shared" si="99"/>
        <v>6290.3350100000025</v>
      </c>
      <c r="G941">
        <f t="shared" si="100"/>
        <v>0.14330415654421486</v>
      </c>
      <c r="H941">
        <f t="shared" si="101"/>
        <v>6.0252251053639867</v>
      </c>
      <c r="I941">
        <f t="shared" si="102"/>
        <v>36.019787758620687</v>
      </c>
      <c r="J941" t="b">
        <f t="shared" si="103"/>
        <v>1</v>
      </c>
      <c r="K941">
        <f t="shared" si="104"/>
        <v>1044</v>
      </c>
    </row>
    <row r="942" spans="1:11" x14ac:dyDescent="0.3">
      <c r="A942" t="s">
        <v>572</v>
      </c>
      <c r="B942">
        <v>67780.728889999999</v>
      </c>
      <c r="C942">
        <v>58196.145989999997</v>
      </c>
      <c r="D942">
        <v>1611</v>
      </c>
      <c r="E942">
        <f t="shared" si="98"/>
        <v>42.073698876474239</v>
      </c>
      <c r="F942">
        <f t="shared" si="99"/>
        <v>9584.5829000000012</v>
      </c>
      <c r="G942">
        <f t="shared" si="100"/>
        <v>0.14140572190592154</v>
      </c>
      <c r="H942">
        <f t="shared" si="101"/>
        <v>5.9494617628801976</v>
      </c>
      <c r="I942">
        <f t="shared" si="102"/>
        <v>36.124237113594042</v>
      </c>
      <c r="J942" t="b">
        <f t="shared" si="103"/>
        <v>1</v>
      </c>
      <c r="K942">
        <f t="shared" si="104"/>
        <v>1611</v>
      </c>
    </row>
    <row r="943" spans="1:11" x14ac:dyDescent="0.3">
      <c r="A943" t="s">
        <v>573</v>
      </c>
      <c r="B943">
        <v>51907.943149999999</v>
      </c>
      <c r="C943">
        <v>44544.630740000001</v>
      </c>
      <c r="D943">
        <v>1234</v>
      </c>
      <c r="E943">
        <f t="shared" si="98"/>
        <v>42.064783752025932</v>
      </c>
      <c r="F943">
        <f t="shared" si="99"/>
        <v>7363.3124099999986</v>
      </c>
      <c r="G943">
        <f t="shared" si="100"/>
        <v>0.14185328801647959</v>
      </c>
      <c r="H943">
        <f t="shared" si="101"/>
        <v>5.967027884927063</v>
      </c>
      <c r="I943">
        <f t="shared" si="102"/>
        <v>36.097755867098869</v>
      </c>
      <c r="J943" t="b">
        <f t="shared" si="103"/>
        <v>1</v>
      </c>
      <c r="K943">
        <f t="shared" si="104"/>
        <v>1234</v>
      </c>
    </row>
    <row r="944" spans="1:11" x14ac:dyDescent="0.3">
      <c r="A944" t="s">
        <v>574</v>
      </c>
      <c r="B944">
        <v>93508.633889999997</v>
      </c>
      <c r="C944">
        <v>80346.694130000003</v>
      </c>
      <c r="D944">
        <v>2223</v>
      </c>
      <c r="E944">
        <f t="shared" si="98"/>
        <v>42.064162793522264</v>
      </c>
      <c r="F944">
        <f t="shared" si="99"/>
        <v>13161.939759999994</v>
      </c>
      <c r="G944">
        <f t="shared" si="100"/>
        <v>0.14075641160027211</v>
      </c>
      <c r="H944">
        <f t="shared" si="101"/>
        <v>5.9208006117858716</v>
      </c>
      <c r="I944">
        <f t="shared" si="102"/>
        <v>36.143362181736393</v>
      </c>
      <c r="J944" t="b">
        <f t="shared" si="103"/>
        <v>1</v>
      </c>
      <c r="K944">
        <f t="shared" si="104"/>
        <v>2223</v>
      </c>
    </row>
    <row r="945" spans="1:11" x14ac:dyDescent="0.3">
      <c r="A945" t="s">
        <v>575</v>
      </c>
      <c r="B945">
        <v>95343.595509999999</v>
      </c>
      <c r="C945">
        <v>81874.288860000001</v>
      </c>
      <c r="D945">
        <v>2267</v>
      </c>
      <c r="E945">
        <f t="shared" si="98"/>
        <v>42.05716608292898</v>
      </c>
      <c r="F945">
        <f t="shared" si="99"/>
        <v>13469.306649999999</v>
      </c>
      <c r="G945">
        <f t="shared" si="100"/>
        <v>0.14127122622082453</v>
      </c>
      <c r="H945">
        <f t="shared" si="101"/>
        <v>5.9414674239082501</v>
      </c>
      <c r="I945">
        <f t="shared" si="102"/>
        <v>36.11569865902073</v>
      </c>
      <c r="J945" t="b">
        <f t="shared" si="103"/>
        <v>1</v>
      </c>
      <c r="K945">
        <f t="shared" si="104"/>
        <v>2267</v>
      </c>
    </row>
    <row r="946" spans="1:11" x14ac:dyDescent="0.3">
      <c r="A946" t="s">
        <v>576</v>
      </c>
      <c r="B946">
        <v>59514.992330000001</v>
      </c>
      <c r="C946">
        <v>51145.403339999997</v>
      </c>
      <c r="D946">
        <v>1415</v>
      </c>
      <c r="E946">
        <f t="shared" si="98"/>
        <v>42.06006525088339</v>
      </c>
      <c r="F946">
        <f t="shared" si="99"/>
        <v>8369.5889900000038</v>
      </c>
      <c r="G946">
        <f t="shared" si="100"/>
        <v>0.14062992638211441</v>
      </c>
      <c r="H946">
        <f t="shared" si="101"/>
        <v>5.914903879858656</v>
      </c>
      <c r="I946">
        <f t="shared" si="102"/>
        <v>36.145161371024734</v>
      </c>
      <c r="J946" t="b">
        <f t="shared" si="103"/>
        <v>1</v>
      </c>
      <c r="K946">
        <f t="shared" si="104"/>
        <v>1415</v>
      </c>
    </row>
    <row r="947" spans="1:11" x14ac:dyDescent="0.3">
      <c r="A947" s="1">
        <v>42377</v>
      </c>
      <c r="B947">
        <v>65133.966200000003</v>
      </c>
      <c r="C947">
        <v>55946.056559999997</v>
      </c>
      <c r="D947">
        <v>1548</v>
      </c>
      <c r="E947">
        <f t="shared" si="98"/>
        <v>42.076205555555561</v>
      </c>
      <c r="F947">
        <f t="shared" si="99"/>
        <v>9187.9096400000053</v>
      </c>
      <c r="G947">
        <f t="shared" si="100"/>
        <v>0.14106172518018725</v>
      </c>
      <c r="H947">
        <f t="shared" si="101"/>
        <v>5.9353421447028509</v>
      </c>
      <c r="I947">
        <f t="shared" si="102"/>
        <v>36.14086341085271</v>
      </c>
      <c r="J947" t="b">
        <f t="shared" si="103"/>
        <v>1</v>
      </c>
      <c r="K947">
        <f t="shared" si="104"/>
        <v>1548</v>
      </c>
    </row>
    <row r="948" spans="1:11" x14ac:dyDescent="0.3">
      <c r="A948" s="1">
        <v>42408</v>
      </c>
      <c r="B948">
        <v>70641.253719999993</v>
      </c>
      <c r="C948">
        <v>60629.553</v>
      </c>
      <c r="D948">
        <v>1679</v>
      </c>
      <c r="E948">
        <f t="shared" si="98"/>
        <v>42.073409005360332</v>
      </c>
      <c r="F948">
        <f t="shared" si="99"/>
        <v>10011.700719999993</v>
      </c>
      <c r="G948">
        <f t="shared" si="100"/>
        <v>0.1417259772835186</v>
      </c>
      <c r="H948">
        <f t="shared" si="101"/>
        <v>5.9628950089338915</v>
      </c>
      <c r="I948">
        <f t="shared" si="102"/>
        <v>36.110513996426441</v>
      </c>
      <c r="J948" t="b">
        <f t="shared" si="103"/>
        <v>1</v>
      </c>
      <c r="K948">
        <f t="shared" si="104"/>
        <v>1679</v>
      </c>
    </row>
    <row r="949" spans="1:11" x14ac:dyDescent="0.3">
      <c r="A949" s="1">
        <v>42437</v>
      </c>
      <c r="B949">
        <v>48442.171479999997</v>
      </c>
      <c r="C949">
        <v>41610.783940000001</v>
      </c>
      <c r="D949">
        <v>1152</v>
      </c>
      <c r="E949">
        <f t="shared" si="98"/>
        <v>42.050496076388889</v>
      </c>
      <c r="F949">
        <f t="shared" si="99"/>
        <v>6831.3875399999961</v>
      </c>
      <c r="G949">
        <f t="shared" si="100"/>
        <v>0.14102149699916788</v>
      </c>
      <c r="H949">
        <f t="shared" si="101"/>
        <v>5.9300239062499998</v>
      </c>
      <c r="I949">
        <f t="shared" si="102"/>
        <v>36.120472170138889</v>
      </c>
      <c r="J949" t="b">
        <f t="shared" si="103"/>
        <v>1</v>
      </c>
      <c r="K949">
        <f t="shared" si="104"/>
        <v>1152</v>
      </c>
    </row>
    <row r="950" spans="1:11" x14ac:dyDescent="0.3">
      <c r="A950" s="1">
        <v>42468</v>
      </c>
      <c r="B950">
        <v>46291.371919999998</v>
      </c>
      <c r="C950">
        <v>39783.360670000002</v>
      </c>
      <c r="D950">
        <v>1101</v>
      </c>
      <c r="E950">
        <f t="shared" si="98"/>
        <v>42.044842797456859</v>
      </c>
      <c r="F950">
        <f t="shared" si="99"/>
        <v>6508.0112499999959</v>
      </c>
      <c r="G950">
        <f t="shared" si="100"/>
        <v>0.14058799685710408</v>
      </c>
      <c r="H950">
        <f t="shared" si="101"/>
        <v>5.9110002270663031</v>
      </c>
      <c r="I950">
        <f t="shared" si="102"/>
        <v>36.133842570390556</v>
      </c>
      <c r="J950" t="b">
        <f t="shared" si="103"/>
        <v>1</v>
      </c>
      <c r="K950">
        <f t="shared" si="104"/>
        <v>1101</v>
      </c>
    </row>
    <row r="951" spans="1:11" x14ac:dyDescent="0.3">
      <c r="A951" s="1">
        <v>42498</v>
      </c>
      <c r="B951">
        <v>73453.143290000007</v>
      </c>
      <c r="C951">
        <v>63386.492590000002</v>
      </c>
      <c r="D951">
        <v>1746</v>
      </c>
      <c r="E951">
        <f t="shared" si="98"/>
        <v>42.069383327605962</v>
      </c>
      <c r="F951">
        <f t="shared" si="99"/>
        <v>10066.650700000006</v>
      </c>
      <c r="G951">
        <f t="shared" si="100"/>
        <v>0.13704860335596408</v>
      </c>
      <c r="H951">
        <f t="shared" si="101"/>
        <v>5.7655502290950764</v>
      </c>
      <c r="I951">
        <f t="shared" si="102"/>
        <v>36.303833098510886</v>
      </c>
      <c r="J951" t="b">
        <f t="shared" si="103"/>
        <v>1</v>
      </c>
      <c r="K951">
        <f t="shared" si="104"/>
        <v>1746</v>
      </c>
    </row>
    <row r="952" spans="1:11" x14ac:dyDescent="0.3">
      <c r="A952" s="1">
        <v>42529</v>
      </c>
      <c r="B952">
        <v>71508.897949999999</v>
      </c>
      <c r="C952">
        <v>61500.574650000002</v>
      </c>
      <c r="D952">
        <v>1700</v>
      </c>
      <c r="E952">
        <f t="shared" si="98"/>
        <v>42.064057617647059</v>
      </c>
      <c r="F952">
        <f t="shared" si="99"/>
        <v>10008.323299999996</v>
      </c>
      <c r="G952">
        <f t="shared" si="100"/>
        <v>0.13995913217678105</v>
      </c>
      <c r="H952">
        <f t="shared" si="101"/>
        <v>5.8872489999999971</v>
      </c>
      <c r="I952">
        <f t="shared" si="102"/>
        <v>36.176808617647062</v>
      </c>
      <c r="J952" t="b">
        <f t="shared" si="103"/>
        <v>1</v>
      </c>
      <c r="K952">
        <f t="shared" si="104"/>
        <v>1700</v>
      </c>
    </row>
    <row r="953" spans="1:11" x14ac:dyDescent="0.3">
      <c r="A953" s="1">
        <v>42559</v>
      </c>
      <c r="B953">
        <v>30066.126179999999</v>
      </c>
      <c r="C953">
        <v>25872.48835</v>
      </c>
      <c r="D953">
        <v>715</v>
      </c>
      <c r="E953">
        <f t="shared" si="98"/>
        <v>42.050526125874121</v>
      </c>
      <c r="F953">
        <f t="shared" si="99"/>
        <v>4193.6378299999997</v>
      </c>
      <c r="G953">
        <f t="shared" si="100"/>
        <v>0.13948048394706763</v>
      </c>
      <c r="H953">
        <f t="shared" si="101"/>
        <v>5.86522773426573</v>
      </c>
      <c r="I953">
        <f t="shared" si="102"/>
        <v>36.185298391608391</v>
      </c>
      <c r="J953" t="b">
        <f t="shared" si="103"/>
        <v>1</v>
      </c>
      <c r="K953">
        <f t="shared" si="104"/>
        <v>715</v>
      </c>
    </row>
    <row r="954" spans="1:11" x14ac:dyDescent="0.3">
      <c r="A954" s="1">
        <v>42590</v>
      </c>
      <c r="B954">
        <v>37726.615899999997</v>
      </c>
      <c r="C954">
        <v>32490.136020000002</v>
      </c>
      <c r="D954">
        <v>897</v>
      </c>
      <c r="E954">
        <f t="shared" si="98"/>
        <v>42.05865763656633</v>
      </c>
      <c r="F954">
        <f t="shared" si="99"/>
        <v>5236.4798799999953</v>
      </c>
      <c r="G954">
        <f t="shared" si="100"/>
        <v>0.13880067838260562</v>
      </c>
      <c r="H954">
        <f t="shared" si="101"/>
        <v>5.8377702118171655</v>
      </c>
      <c r="I954">
        <f t="shared" si="102"/>
        <v>36.220887424749165</v>
      </c>
      <c r="J954" t="b">
        <f t="shared" si="103"/>
        <v>1</v>
      </c>
      <c r="K954">
        <f t="shared" si="104"/>
        <v>897</v>
      </c>
    </row>
    <row r="955" spans="1:11" x14ac:dyDescent="0.3">
      <c r="A955" s="1">
        <v>42621</v>
      </c>
      <c r="B955">
        <v>30831.694630000002</v>
      </c>
      <c r="C955">
        <v>26577.079450000001</v>
      </c>
      <c r="D955">
        <v>733</v>
      </c>
      <c r="E955">
        <f t="shared" si="98"/>
        <v>42.062339195088676</v>
      </c>
      <c r="F955">
        <f t="shared" si="99"/>
        <v>4254.6151800000007</v>
      </c>
      <c r="G955">
        <f t="shared" si="100"/>
        <v>0.13799485338247203</v>
      </c>
      <c r="H955">
        <f t="shared" si="101"/>
        <v>5.8043863301500664</v>
      </c>
      <c r="I955">
        <f t="shared" si="102"/>
        <v>36.257952864938609</v>
      </c>
      <c r="J955" t="b">
        <f t="shared" si="103"/>
        <v>1</v>
      </c>
      <c r="K955">
        <f t="shared" si="104"/>
        <v>733</v>
      </c>
    </row>
    <row r="956" spans="1:11" x14ac:dyDescent="0.3">
      <c r="A956" s="1">
        <v>42651</v>
      </c>
      <c r="B956">
        <v>146811.45509999999</v>
      </c>
      <c r="C956">
        <v>155135.62909999999</v>
      </c>
      <c r="D956">
        <v>4282</v>
      </c>
      <c r="E956">
        <f t="shared" si="98"/>
        <v>34.285720481083601</v>
      </c>
      <c r="F956">
        <f t="shared" si="99"/>
        <v>-8324.1739999999991</v>
      </c>
      <c r="G956">
        <f t="shared" si="100"/>
        <v>-5.6699758164851809E-2</v>
      </c>
      <c r="H956">
        <f t="shared" si="101"/>
        <v>-1.9439920597851525</v>
      </c>
      <c r="I956">
        <f t="shared" si="102"/>
        <v>36.229712540868753</v>
      </c>
      <c r="J956" t="b">
        <f t="shared" si="103"/>
        <v>0</v>
      </c>
      <c r="K956">
        <f t="shared" si="104"/>
        <v>4282</v>
      </c>
    </row>
    <row r="957" spans="1:11" x14ac:dyDescent="0.3">
      <c r="A957" s="1">
        <v>42682</v>
      </c>
      <c r="B957">
        <v>99867.329620000004</v>
      </c>
      <c r="C957">
        <v>103826.70140000001</v>
      </c>
      <c r="D957">
        <v>2867</v>
      </c>
      <c r="E957">
        <f t="shared" si="98"/>
        <v>34.833390170910363</v>
      </c>
      <c r="F957">
        <f t="shared" si="99"/>
        <v>-3959.3717800000013</v>
      </c>
      <c r="G957">
        <f t="shared" si="100"/>
        <v>-3.9646316719047177E-2</v>
      </c>
      <c r="H957">
        <f t="shared" si="101"/>
        <v>-1.3810156191140521</v>
      </c>
      <c r="I957">
        <f t="shared" si="102"/>
        <v>36.214405790024415</v>
      </c>
      <c r="J957" t="b">
        <f t="shared" si="103"/>
        <v>0</v>
      </c>
      <c r="K957">
        <f t="shared" si="104"/>
        <v>2867</v>
      </c>
    </row>
    <row r="958" spans="1:11" x14ac:dyDescent="0.3">
      <c r="A958" s="1">
        <v>42712</v>
      </c>
      <c r="B958">
        <v>210664.8628</v>
      </c>
      <c r="C958">
        <v>220379.27669999999</v>
      </c>
      <c r="D958">
        <v>6082</v>
      </c>
      <c r="E958">
        <f t="shared" si="98"/>
        <v>34.637432226241366</v>
      </c>
      <c r="F958">
        <f t="shared" si="99"/>
        <v>-9714.413899999985</v>
      </c>
      <c r="G958">
        <f t="shared" si="100"/>
        <v>-4.6113119059739013E-2</v>
      </c>
      <c r="H958">
        <f t="shared" si="101"/>
        <v>-1.5972400361723089</v>
      </c>
      <c r="I958">
        <f t="shared" si="102"/>
        <v>36.234672262413675</v>
      </c>
      <c r="J958" t="b">
        <f t="shared" si="103"/>
        <v>0</v>
      </c>
      <c r="K958">
        <f t="shared" si="104"/>
        <v>6082</v>
      </c>
    </row>
    <row r="959" spans="1:11" x14ac:dyDescent="0.3">
      <c r="A959" t="s">
        <v>577</v>
      </c>
      <c r="B959">
        <v>266271.03909999999</v>
      </c>
      <c r="C959">
        <v>281658.41830000002</v>
      </c>
      <c r="D959">
        <v>7771</v>
      </c>
      <c r="E959">
        <f t="shared" si="98"/>
        <v>34.26470712906962</v>
      </c>
      <c r="F959">
        <f t="shared" si="99"/>
        <v>-15387.379200000025</v>
      </c>
      <c r="G959">
        <f t="shared" si="100"/>
        <v>-5.7788407075773589E-2</v>
      </c>
      <c r="H959">
        <f t="shared" si="101"/>
        <v>-1.9801028439068347</v>
      </c>
      <c r="I959">
        <f t="shared" si="102"/>
        <v>36.244809972976455</v>
      </c>
      <c r="J959" t="b">
        <f t="shared" si="103"/>
        <v>0</v>
      </c>
      <c r="K959">
        <f t="shared" si="104"/>
        <v>7771</v>
      </c>
    </row>
    <row r="960" spans="1:11" x14ac:dyDescent="0.3">
      <c r="A960" t="s">
        <v>578</v>
      </c>
      <c r="B960">
        <v>123084.03909999999</v>
      </c>
      <c r="C960">
        <v>129601.5272</v>
      </c>
      <c r="D960">
        <v>3576</v>
      </c>
      <c r="E960">
        <f t="shared" si="98"/>
        <v>34.419474021252796</v>
      </c>
      <c r="F960">
        <f t="shared" si="99"/>
        <v>-6517.4881000000023</v>
      </c>
      <c r="G960">
        <f t="shared" si="100"/>
        <v>-5.2951529277527609E-2</v>
      </c>
      <c r="H960">
        <f t="shared" si="101"/>
        <v>-1.8225637863534701</v>
      </c>
      <c r="I960">
        <f t="shared" si="102"/>
        <v>36.242037807606266</v>
      </c>
      <c r="J960" t="b">
        <f t="shared" si="103"/>
        <v>0</v>
      </c>
      <c r="K960">
        <f t="shared" si="104"/>
        <v>3576</v>
      </c>
    </row>
    <row r="961" spans="1:11" x14ac:dyDescent="0.3">
      <c r="A961" t="s">
        <v>579</v>
      </c>
      <c r="B961">
        <v>162727.52480000001</v>
      </c>
      <c r="C961">
        <v>168580.17060000001</v>
      </c>
      <c r="D961">
        <v>4649</v>
      </c>
      <c r="E961">
        <f t="shared" si="98"/>
        <v>35.002694084749415</v>
      </c>
      <c r="F961">
        <f t="shared" si="99"/>
        <v>-5852.6457999999984</v>
      </c>
      <c r="G961">
        <f t="shared" si="100"/>
        <v>-3.5965924063511581E-2</v>
      </c>
      <c r="H961">
        <f t="shared" si="101"/>
        <v>-1.2589042374704178</v>
      </c>
      <c r="I961">
        <f t="shared" si="102"/>
        <v>36.261598322219832</v>
      </c>
      <c r="J961" t="b">
        <f t="shared" si="103"/>
        <v>0</v>
      </c>
      <c r="K961">
        <f t="shared" si="104"/>
        <v>4649</v>
      </c>
    </row>
    <row r="962" spans="1:11" x14ac:dyDescent="0.3">
      <c r="A962" t="s">
        <v>580</v>
      </c>
      <c r="B962">
        <v>114708.946</v>
      </c>
      <c r="C962">
        <v>119758.06170000001</v>
      </c>
      <c r="D962">
        <v>3302</v>
      </c>
      <c r="E962">
        <f t="shared" si="98"/>
        <v>34.739232586311324</v>
      </c>
      <c r="F962">
        <f t="shared" si="99"/>
        <v>-5049.1157000000094</v>
      </c>
      <c r="G962">
        <f t="shared" si="100"/>
        <v>-4.4016756112465805E-2</v>
      </c>
      <c r="H962">
        <f t="shared" si="101"/>
        <v>-1.5291083282858935</v>
      </c>
      <c r="I962">
        <f t="shared" si="102"/>
        <v>36.268340914597218</v>
      </c>
      <c r="J962" t="b">
        <f t="shared" si="103"/>
        <v>0</v>
      </c>
      <c r="K962">
        <f t="shared" si="104"/>
        <v>3302</v>
      </c>
    </row>
    <row r="963" spans="1:11" x14ac:dyDescent="0.3">
      <c r="A963" t="s">
        <v>581</v>
      </c>
      <c r="B963">
        <v>122318.9075</v>
      </c>
      <c r="C963">
        <v>128298.3435</v>
      </c>
      <c r="D963">
        <v>3536</v>
      </c>
      <c r="E963">
        <f t="shared" ref="E963:E1026" si="105">B963/D963</f>
        <v>34.592451216063345</v>
      </c>
      <c r="F963">
        <f t="shared" ref="F963:F1026" si="106">B963-C963</f>
        <v>-5979.4360000000015</v>
      </c>
      <c r="G963">
        <f t="shared" ref="G963:H1026" si="107">F963/B963</f>
        <v>-4.8883987947652342E-2</v>
      </c>
      <c r="H963">
        <f t="shared" ref="H963:H1026" si="108">E963-I963</f>
        <v>-1.6910169683257976</v>
      </c>
      <c r="I963">
        <f t="shared" ref="I963:I1026" si="109">C963/D963</f>
        <v>36.283468184389143</v>
      </c>
      <c r="J963" t="b">
        <f t="shared" ref="J963:J1026" si="110">H963&gt;0</f>
        <v>0</v>
      </c>
      <c r="K963">
        <f t="shared" ref="K963:K1026" si="111">D963</f>
        <v>3536</v>
      </c>
    </row>
    <row r="964" spans="1:11" x14ac:dyDescent="0.3">
      <c r="A964" t="s">
        <v>582</v>
      </c>
      <c r="B964">
        <v>112010.34450000001</v>
      </c>
      <c r="C964">
        <v>117374.19160000001</v>
      </c>
      <c r="D964">
        <v>3236</v>
      </c>
      <c r="E964">
        <f t="shared" si="105"/>
        <v>34.613827101359703</v>
      </c>
      <c r="F964">
        <f t="shared" si="106"/>
        <v>-5363.847099999999</v>
      </c>
      <c r="G964">
        <f t="shared" si="107"/>
        <v>-4.788706903762803E-2</v>
      </c>
      <c r="H964">
        <f t="shared" si="108"/>
        <v>-1.6575547280593312</v>
      </c>
      <c r="I964">
        <f t="shared" si="109"/>
        <v>36.271381829419035</v>
      </c>
      <c r="J964" t="b">
        <f t="shared" si="110"/>
        <v>0</v>
      </c>
      <c r="K964">
        <f t="shared" si="111"/>
        <v>3236</v>
      </c>
    </row>
    <row r="965" spans="1:11" x14ac:dyDescent="0.3">
      <c r="A965" t="s">
        <v>583</v>
      </c>
      <c r="B965">
        <v>229861.47029999999</v>
      </c>
      <c r="C965">
        <v>241090.1336</v>
      </c>
      <c r="D965">
        <v>6646</v>
      </c>
      <c r="E965">
        <f t="shared" si="105"/>
        <v>34.586438504363528</v>
      </c>
      <c r="F965">
        <f t="shared" si="106"/>
        <v>-11228.663300000015</v>
      </c>
      <c r="G965">
        <f t="shared" si="107"/>
        <v>-4.884969753889204E-2</v>
      </c>
      <c r="H965">
        <f t="shared" si="108"/>
        <v>-1.6895370598856445</v>
      </c>
      <c r="I965">
        <f t="shared" si="109"/>
        <v>36.275975564249173</v>
      </c>
      <c r="J965" t="b">
        <f t="shared" si="110"/>
        <v>0</v>
      </c>
      <c r="K965">
        <f t="shared" si="111"/>
        <v>6646</v>
      </c>
    </row>
    <row r="966" spans="1:11" x14ac:dyDescent="0.3">
      <c r="A966" t="s">
        <v>584</v>
      </c>
      <c r="B966">
        <v>249981.24969999999</v>
      </c>
      <c r="C966">
        <v>262145.17729999998</v>
      </c>
      <c r="D966">
        <v>7220</v>
      </c>
      <c r="E966">
        <f t="shared" si="105"/>
        <v>34.623441786703602</v>
      </c>
      <c r="F966">
        <f t="shared" si="106"/>
        <v>-12163.927599999995</v>
      </c>
      <c r="G966">
        <f t="shared" si="107"/>
        <v>-4.8659359910384496E-2</v>
      </c>
      <c r="H966">
        <f t="shared" si="108"/>
        <v>-1.6847545152354542</v>
      </c>
      <c r="I966">
        <f t="shared" si="109"/>
        <v>36.308196301939056</v>
      </c>
      <c r="J966" t="b">
        <f t="shared" si="110"/>
        <v>0</v>
      </c>
      <c r="K966">
        <f t="shared" si="111"/>
        <v>7220</v>
      </c>
    </row>
    <row r="967" spans="1:11" x14ac:dyDescent="0.3">
      <c r="A967" t="s">
        <v>585</v>
      </c>
      <c r="B967">
        <v>136480.24909999999</v>
      </c>
      <c r="C967">
        <v>143734.22719999999</v>
      </c>
      <c r="D967">
        <v>3958</v>
      </c>
      <c r="E967">
        <f t="shared" si="105"/>
        <v>34.482124583122783</v>
      </c>
      <c r="F967">
        <f t="shared" si="106"/>
        <v>-7253.9781000000075</v>
      </c>
      <c r="G967">
        <f t="shared" si="107"/>
        <v>-5.3150387311243621E-2</v>
      </c>
      <c r="H967">
        <f t="shared" si="108"/>
        <v>-1.8327382769075342</v>
      </c>
      <c r="I967">
        <f t="shared" si="109"/>
        <v>36.314862860030317</v>
      </c>
      <c r="J967" t="b">
        <f t="shared" si="110"/>
        <v>0</v>
      </c>
      <c r="K967">
        <f t="shared" si="111"/>
        <v>3958</v>
      </c>
    </row>
    <row r="968" spans="1:11" x14ac:dyDescent="0.3">
      <c r="A968" t="s">
        <v>586</v>
      </c>
      <c r="B968">
        <v>127369.8026</v>
      </c>
      <c r="C968">
        <v>133350.16140000001</v>
      </c>
      <c r="D968">
        <v>3672</v>
      </c>
      <c r="E968">
        <f t="shared" si="105"/>
        <v>34.686765413943355</v>
      </c>
      <c r="F968">
        <f t="shared" si="106"/>
        <v>-5980.3588000000163</v>
      </c>
      <c r="G968">
        <f t="shared" si="107"/>
        <v>-4.6952720958366445E-2</v>
      </c>
      <c r="H968">
        <f t="shared" si="108"/>
        <v>-1.6286380174291963</v>
      </c>
      <c r="I968">
        <f t="shared" si="109"/>
        <v>36.315403431372552</v>
      </c>
      <c r="J968" t="b">
        <f t="shared" si="110"/>
        <v>0</v>
      </c>
      <c r="K968">
        <f t="shared" si="111"/>
        <v>3672</v>
      </c>
    </row>
    <row r="969" spans="1:11" x14ac:dyDescent="0.3">
      <c r="A969" t="s">
        <v>587</v>
      </c>
      <c r="B969">
        <v>43537.728159999999</v>
      </c>
      <c r="C969">
        <v>37649.38753</v>
      </c>
      <c r="D969">
        <v>1035</v>
      </c>
      <c r="E969">
        <f t="shared" si="105"/>
        <v>42.065437835748789</v>
      </c>
      <c r="F969">
        <f t="shared" si="106"/>
        <v>5888.3406299999988</v>
      </c>
      <c r="G969">
        <f t="shared" si="107"/>
        <v>0.13524685092342215</v>
      </c>
      <c r="H969">
        <f t="shared" si="108"/>
        <v>5.6892179999999968</v>
      </c>
      <c r="I969">
        <f t="shared" si="109"/>
        <v>36.376219835748792</v>
      </c>
      <c r="J969" t="b">
        <f t="shared" si="110"/>
        <v>1</v>
      </c>
      <c r="K969">
        <f t="shared" si="111"/>
        <v>1035</v>
      </c>
    </row>
    <row r="970" spans="1:11" x14ac:dyDescent="0.3">
      <c r="A970" t="s">
        <v>588</v>
      </c>
      <c r="B970">
        <v>120407.4133</v>
      </c>
      <c r="C970">
        <v>127699.41590000001</v>
      </c>
      <c r="D970">
        <v>3549</v>
      </c>
      <c r="E970">
        <f t="shared" si="105"/>
        <v>33.927138151591997</v>
      </c>
      <c r="F970">
        <f t="shared" si="106"/>
        <v>-7292.0026000000071</v>
      </c>
      <c r="G970">
        <f t="shared" si="107"/>
        <v>-6.0561076765528417E-2</v>
      </c>
      <c r="H970">
        <f t="shared" si="108"/>
        <v>-2.0546640180332503</v>
      </c>
      <c r="I970">
        <f t="shared" si="109"/>
        <v>35.981802169625247</v>
      </c>
      <c r="J970" t="b">
        <f t="shared" si="110"/>
        <v>0</v>
      </c>
      <c r="K970">
        <f t="shared" si="111"/>
        <v>3549</v>
      </c>
    </row>
    <row r="971" spans="1:11" x14ac:dyDescent="0.3">
      <c r="A971" t="s">
        <v>589</v>
      </c>
      <c r="B971">
        <v>226375.54310000001</v>
      </c>
      <c r="C971">
        <v>240429.68549999999</v>
      </c>
      <c r="D971">
        <v>6647</v>
      </c>
      <c r="E971">
        <f t="shared" si="105"/>
        <v>34.056799022115243</v>
      </c>
      <c r="F971">
        <f t="shared" si="106"/>
        <v>-14054.142399999982</v>
      </c>
      <c r="G971">
        <f t="shared" si="107"/>
        <v>-6.2083307266949994E-2</v>
      </c>
      <c r="H971">
        <f t="shared" si="108"/>
        <v>-2.1143587182187389</v>
      </c>
      <c r="I971">
        <f t="shared" si="109"/>
        <v>36.171157740333982</v>
      </c>
      <c r="J971" t="b">
        <f t="shared" si="110"/>
        <v>0</v>
      </c>
      <c r="K971">
        <f t="shared" si="111"/>
        <v>6647</v>
      </c>
    </row>
    <row r="972" spans="1:11" x14ac:dyDescent="0.3">
      <c r="A972" t="s">
        <v>590</v>
      </c>
      <c r="B972">
        <v>337900.17820000002</v>
      </c>
      <c r="C972">
        <v>358772.25040000002</v>
      </c>
      <c r="D972">
        <v>9908</v>
      </c>
      <c r="E972">
        <f t="shared" si="105"/>
        <v>34.103772527250712</v>
      </c>
      <c r="F972">
        <f t="shared" si="106"/>
        <v>-20872.072199999995</v>
      </c>
      <c r="G972">
        <f t="shared" si="107"/>
        <v>-6.1769935461963583E-2</v>
      </c>
      <c r="H972">
        <f t="shared" si="108"/>
        <v>-2.1065878280177586</v>
      </c>
      <c r="I972">
        <f t="shared" si="109"/>
        <v>36.21036035526847</v>
      </c>
      <c r="J972" t="b">
        <f t="shared" si="110"/>
        <v>0</v>
      </c>
      <c r="K972">
        <f t="shared" si="111"/>
        <v>9908</v>
      </c>
    </row>
    <row r="973" spans="1:11" x14ac:dyDescent="0.3">
      <c r="A973" t="s">
        <v>591</v>
      </c>
      <c r="B973">
        <v>355069.54009999998</v>
      </c>
      <c r="C973">
        <v>376755.56449999998</v>
      </c>
      <c r="D973">
        <v>10393</v>
      </c>
      <c r="E973">
        <f t="shared" si="105"/>
        <v>34.164297132685462</v>
      </c>
      <c r="F973">
        <f t="shared" si="106"/>
        <v>-21686.024399999995</v>
      </c>
      <c r="G973">
        <f t="shared" si="107"/>
        <v>-6.1075428756554147E-2</v>
      </c>
      <c r="H973">
        <f t="shared" si="108"/>
        <v>-2.0865990955450755</v>
      </c>
      <c r="I973">
        <f t="shared" si="109"/>
        <v>36.250896228230538</v>
      </c>
      <c r="J973" t="b">
        <f t="shared" si="110"/>
        <v>0</v>
      </c>
      <c r="K973">
        <f t="shared" si="111"/>
        <v>10393</v>
      </c>
    </row>
    <row r="974" spans="1:11" x14ac:dyDescent="0.3">
      <c r="A974" t="s">
        <v>592</v>
      </c>
      <c r="B974">
        <v>153893.68520000001</v>
      </c>
      <c r="C974">
        <v>163401.32920000001</v>
      </c>
      <c r="D974">
        <v>4507</v>
      </c>
      <c r="E974">
        <f t="shared" si="105"/>
        <v>34.145481517639233</v>
      </c>
      <c r="F974">
        <f t="shared" si="106"/>
        <v>-9507.6440000000002</v>
      </c>
      <c r="G974">
        <f t="shared" si="107"/>
        <v>-6.1780598649281031E-2</v>
      </c>
      <c r="H974">
        <f t="shared" si="108"/>
        <v>-2.1095282893277059</v>
      </c>
      <c r="I974">
        <f t="shared" si="109"/>
        <v>36.255009806966939</v>
      </c>
      <c r="J974" t="b">
        <f t="shared" si="110"/>
        <v>0</v>
      </c>
      <c r="K974">
        <f t="shared" si="111"/>
        <v>4507</v>
      </c>
    </row>
    <row r="975" spans="1:11" x14ac:dyDescent="0.3">
      <c r="A975" t="s">
        <v>593</v>
      </c>
      <c r="B975">
        <v>159625.7409</v>
      </c>
      <c r="C975">
        <v>169479.1061</v>
      </c>
      <c r="D975">
        <v>4672</v>
      </c>
      <c r="E975">
        <f t="shared" si="105"/>
        <v>34.166468514554794</v>
      </c>
      <c r="F975">
        <f t="shared" si="106"/>
        <v>-9853.3652000000002</v>
      </c>
      <c r="G975">
        <f t="shared" si="107"/>
        <v>-6.1727921477105575E-2</v>
      </c>
      <c r="H975">
        <f t="shared" si="108"/>
        <v>-2.1090250856164374</v>
      </c>
      <c r="I975">
        <f t="shared" si="109"/>
        <v>36.275493600171231</v>
      </c>
      <c r="J975" t="b">
        <f t="shared" si="110"/>
        <v>0</v>
      </c>
      <c r="K975">
        <f t="shared" si="111"/>
        <v>4672</v>
      </c>
    </row>
    <row r="976" spans="1:11" x14ac:dyDescent="0.3">
      <c r="A976" t="s">
        <v>594</v>
      </c>
      <c r="B976">
        <v>133961.967</v>
      </c>
      <c r="C976">
        <v>142299.9178</v>
      </c>
      <c r="D976">
        <v>3924</v>
      </c>
      <c r="E976">
        <f t="shared" si="105"/>
        <v>34.139135321100916</v>
      </c>
      <c r="F976">
        <f t="shared" si="106"/>
        <v>-8337.9507999999914</v>
      </c>
      <c r="G976">
        <f t="shared" si="107"/>
        <v>-6.2241179244553725E-2</v>
      </c>
      <c r="H976">
        <f t="shared" si="108"/>
        <v>-2.1248600407747205</v>
      </c>
      <c r="I976">
        <f t="shared" si="109"/>
        <v>36.263995361875637</v>
      </c>
      <c r="J976" t="b">
        <f t="shared" si="110"/>
        <v>0</v>
      </c>
      <c r="K976">
        <f t="shared" si="111"/>
        <v>3924</v>
      </c>
    </row>
    <row r="977" spans="1:11" x14ac:dyDescent="0.3">
      <c r="A977" t="s">
        <v>595</v>
      </c>
      <c r="B977">
        <v>236305.15640000001</v>
      </c>
      <c r="C977">
        <v>250572.4534</v>
      </c>
      <c r="D977">
        <v>6918</v>
      </c>
      <c r="E977">
        <f t="shared" si="105"/>
        <v>34.158016247470371</v>
      </c>
      <c r="F977">
        <f t="shared" si="106"/>
        <v>-14267.296999999991</v>
      </c>
      <c r="G977">
        <f t="shared" si="107"/>
        <v>-6.0376579239131624E-2</v>
      </c>
      <c r="H977">
        <f t="shared" si="108"/>
        <v>-2.0623441746169391</v>
      </c>
      <c r="I977">
        <f t="shared" si="109"/>
        <v>36.22036042208731</v>
      </c>
      <c r="J977" t="b">
        <f t="shared" si="110"/>
        <v>0</v>
      </c>
      <c r="K977">
        <f t="shared" si="111"/>
        <v>6918</v>
      </c>
    </row>
    <row r="978" spans="1:11" x14ac:dyDescent="0.3">
      <c r="A978" s="1">
        <v>42378</v>
      </c>
      <c r="B978">
        <v>313491.73509999999</v>
      </c>
      <c r="C978">
        <v>333030.87569999998</v>
      </c>
      <c r="D978">
        <v>9183</v>
      </c>
      <c r="E978">
        <f t="shared" si="105"/>
        <v>34.138270184035719</v>
      </c>
      <c r="F978">
        <f t="shared" si="106"/>
        <v>-19539.140599999984</v>
      </c>
      <c r="G978">
        <f t="shared" si="107"/>
        <v>-6.2327450494882232E-2</v>
      </c>
      <c r="H978">
        <f t="shared" si="108"/>
        <v>-2.1277513448764012</v>
      </c>
      <c r="I978">
        <f t="shared" si="109"/>
        <v>36.26602152891212</v>
      </c>
      <c r="J978" t="b">
        <f t="shared" si="110"/>
        <v>0</v>
      </c>
      <c r="K978">
        <f t="shared" si="111"/>
        <v>9183</v>
      </c>
    </row>
    <row r="979" spans="1:11" x14ac:dyDescent="0.3">
      <c r="A979" s="1">
        <v>42409</v>
      </c>
      <c r="B979">
        <v>370355.00170000002</v>
      </c>
      <c r="C979">
        <v>392493.08270000003</v>
      </c>
      <c r="D979">
        <v>10830</v>
      </c>
      <c r="E979">
        <f t="shared" si="105"/>
        <v>34.197137737765466</v>
      </c>
      <c r="F979">
        <f t="shared" si="106"/>
        <v>-22138.081000000006</v>
      </c>
      <c r="G979">
        <f t="shared" si="107"/>
        <v>-5.9775299100544063E-2</v>
      </c>
      <c r="H979">
        <f t="shared" si="108"/>
        <v>-2.0441441366574367</v>
      </c>
      <c r="I979">
        <f t="shared" si="109"/>
        <v>36.241281874422903</v>
      </c>
      <c r="J979" t="b">
        <f t="shared" si="110"/>
        <v>0</v>
      </c>
      <c r="K979">
        <f t="shared" si="111"/>
        <v>10830</v>
      </c>
    </row>
    <row r="980" spans="1:11" x14ac:dyDescent="0.3">
      <c r="A980" s="1">
        <v>42438</v>
      </c>
      <c r="B980">
        <v>369091.05540000001</v>
      </c>
      <c r="C980">
        <v>391842.50140000001</v>
      </c>
      <c r="D980">
        <v>10800</v>
      </c>
      <c r="E980">
        <f t="shared" si="105"/>
        <v>34.175097722222226</v>
      </c>
      <c r="F980">
        <f t="shared" si="106"/>
        <v>-22751.445999999996</v>
      </c>
      <c r="G980">
        <f t="shared" si="107"/>
        <v>-6.1641824333410804E-2</v>
      </c>
      <c r="H980">
        <f t="shared" si="108"/>
        <v>-2.1066153703703705</v>
      </c>
      <c r="I980">
        <f t="shared" si="109"/>
        <v>36.281713092592597</v>
      </c>
      <c r="J980" t="b">
        <f t="shared" si="110"/>
        <v>0</v>
      </c>
      <c r="K980">
        <f t="shared" si="111"/>
        <v>10800</v>
      </c>
    </row>
    <row r="981" spans="1:11" x14ac:dyDescent="0.3">
      <c r="A981" s="1">
        <v>42469</v>
      </c>
      <c r="B981">
        <v>209026.0197</v>
      </c>
      <c r="C981">
        <v>222163.72889999999</v>
      </c>
      <c r="D981">
        <v>6119</v>
      </c>
      <c r="E981">
        <f t="shared" si="105"/>
        <v>34.160160107860762</v>
      </c>
      <c r="F981">
        <f t="shared" si="106"/>
        <v>-13137.709199999983</v>
      </c>
      <c r="G981">
        <f t="shared" si="107"/>
        <v>-6.2852027794700352E-2</v>
      </c>
      <c r="H981">
        <f t="shared" si="108"/>
        <v>-2.147035332570681</v>
      </c>
      <c r="I981">
        <f t="shared" si="109"/>
        <v>36.307195440431443</v>
      </c>
      <c r="J981" t="b">
        <f t="shared" si="110"/>
        <v>0</v>
      </c>
      <c r="K981">
        <f t="shared" si="111"/>
        <v>6119</v>
      </c>
    </row>
    <row r="982" spans="1:11" x14ac:dyDescent="0.3">
      <c r="A982" s="1">
        <v>42499</v>
      </c>
      <c r="B982">
        <v>228177.3168</v>
      </c>
      <c r="C982">
        <v>242589.58720000001</v>
      </c>
      <c r="D982">
        <v>6685</v>
      </c>
      <c r="E982">
        <f t="shared" si="105"/>
        <v>34.132732505609575</v>
      </c>
      <c r="F982">
        <f t="shared" si="106"/>
        <v>-14412.270400000009</v>
      </c>
      <c r="G982">
        <f t="shared" si="107"/>
        <v>-6.3162590401711696E-2</v>
      </c>
      <c r="H982">
        <f t="shared" si="108"/>
        <v>-2.1559118025430095</v>
      </c>
      <c r="I982">
        <f t="shared" si="109"/>
        <v>36.288644308152584</v>
      </c>
      <c r="J982" t="b">
        <f t="shared" si="110"/>
        <v>0</v>
      </c>
      <c r="K982">
        <f t="shared" si="111"/>
        <v>6685</v>
      </c>
    </row>
    <row r="983" spans="1:11" x14ac:dyDescent="0.3">
      <c r="A983" s="1">
        <v>42530</v>
      </c>
      <c r="B983">
        <v>154494.78200000001</v>
      </c>
      <c r="C983">
        <v>164108.82639999999</v>
      </c>
      <c r="D983">
        <v>4519</v>
      </c>
      <c r="E983">
        <f t="shared" si="105"/>
        <v>34.187825182562513</v>
      </c>
      <c r="F983">
        <f t="shared" si="106"/>
        <v>-9614.0443999999843</v>
      </c>
      <c r="G983">
        <f t="shared" si="107"/>
        <v>-6.2228926281794966E-2</v>
      </c>
      <c r="H983">
        <f t="shared" si="108"/>
        <v>-2.1274716530205779</v>
      </c>
      <c r="I983">
        <f t="shared" si="109"/>
        <v>36.315296835583091</v>
      </c>
      <c r="J983" t="b">
        <f t="shared" si="110"/>
        <v>0</v>
      </c>
      <c r="K983">
        <f t="shared" si="111"/>
        <v>4519</v>
      </c>
    </row>
    <row r="984" spans="1:11" x14ac:dyDescent="0.3">
      <c r="A984" s="1">
        <v>42560</v>
      </c>
      <c r="B984">
        <v>50736.474170000001</v>
      </c>
      <c r="C984">
        <v>43830.19685</v>
      </c>
      <c r="D984">
        <v>1206</v>
      </c>
      <c r="E984">
        <f t="shared" si="105"/>
        <v>42.070044917081262</v>
      </c>
      <c r="F984">
        <f t="shared" si="106"/>
        <v>6906.2773200000011</v>
      </c>
      <c r="G984">
        <f t="shared" si="107"/>
        <v>0.13612056085843699</v>
      </c>
      <c r="H984">
        <f t="shared" si="108"/>
        <v>5.7265981094527376</v>
      </c>
      <c r="I984">
        <f t="shared" si="109"/>
        <v>36.343446807628524</v>
      </c>
      <c r="J984" t="b">
        <f t="shared" si="110"/>
        <v>1</v>
      </c>
      <c r="K984">
        <f t="shared" si="111"/>
        <v>1206</v>
      </c>
    </row>
    <row r="985" spans="1:11" x14ac:dyDescent="0.3">
      <c r="A985" s="1">
        <v>42591</v>
      </c>
      <c r="B985">
        <v>43292.149239999999</v>
      </c>
      <c r="C985">
        <v>37391.680890000003</v>
      </c>
      <c r="D985">
        <v>1029</v>
      </c>
      <c r="E985">
        <f t="shared" si="105"/>
        <v>42.07205951409135</v>
      </c>
      <c r="F985">
        <f t="shared" si="106"/>
        <v>5900.4683499999956</v>
      </c>
      <c r="G985">
        <f t="shared" si="107"/>
        <v>0.13629418852109629</v>
      </c>
      <c r="H985">
        <f t="shared" si="108"/>
        <v>5.7341772108843472</v>
      </c>
      <c r="I985">
        <f t="shared" si="109"/>
        <v>36.337882303207003</v>
      </c>
      <c r="J985" t="b">
        <f t="shared" si="110"/>
        <v>1</v>
      </c>
      <c r="K985">
        <f t="shared" si="111"/>
        <v>1029</v>
      </c>
    </row>
    <row r="986" spans="1:11" x14ac:dyDescent="0.3">
      <c r="A986" s="1">
        <v>42622</v>
      </c>
      <c r="B986">
        <v>77335.918600000005</v>
      </c>
      <c r="C986">
        <v>69612.126699999993</v>
      </c>
      <c r="D986">
        <v>1917</v>
      </c>
      <c r="E986">
        <f t="shared" si="105"/>
        <v>40.342158894105374</v>
      </c>
      <c r="F986">
        <f t="shared" si="106"/>
        <v>7723.7919000000111</v>
      </c>
      <c r="G986">
        <f t="shared" si="107"/>
        <v>9.9873280615561347E-2</v>
      </c>
      <c r="H986">
        <f t="shared" si="108"/>
        <v>4.0291037558685474</v>
      </c>
      <c r="I986">
        <f t="shared" si="109"/>
        <v>36.313055138236827</v>
      </c>
      <c r="J986" t="b">
        <f t="shared" si="110"/>
        <v>1</v>
      </c>
      <c r="K986">
        <f t="shared" si="111"/>
        <v>1917</v>
      </c>
    </row>
    <row r="987" spans="1:11" x14ac:dyDescent="0.3">
      <c r="A987" s="1">
        <v>42652</v>
      </c>
      <c r="B987">
        <v>85070.234890000007</v>
      </c>
      <c r="C987">
        <v>76591.852920000005</v>
      </c>
      <c r="D987">
        <v>2108</v>
      </c>
      <c r="E987">
        <f t="shared" si="105"/>
        <v>40.355898904174573</v>
      </c>
      <c r="F987">
        <f t="shared" si="106"/>
        <v>8478.3819700000022</v>
      </c>
      <c r="G987">
        <f t="shared" si="107"/>
        <v>9.9663319149911445E-2</v>
      </c>
      <c r="H987">
        <f t="shared" si="108"/>
        <v>4.0220028320683099</v>
      </c>
      <c r="I987">
        <f t="shared" si="109"/>
        <v>36.333896072106263</v>
      </c>
      <c r="J987" t="b">
        <f t="shared" si="110"/>
        <v>1</v>
      </c>
      <c r="K987">
        <f t="shared" si="111"/>
        <v>2108</v>
      </c>
    </row>
    <row r="988" spans="1:11" x14ac:dyDescent="0.3">
      <c r="A988" s="1">
        <v>42683</v>
      </c>
      <c r="B988">
        <v>48831.666109999998</v>
      </c>
      <c r="C988">
        <v>44014.232020000003</v>
      </c>
      <c r="D988">
        <v>1211</v>
      </c>
      <c r="E988">
        <f t="shared" si="105"/>
        <v>40.323423707679602</v>
      </c>
      <c r="F988">
        <f t="shared" si="106"/>
        <v>4817.4340899999952</v>
      </c>
      <c r="G988">
        <f t="shared" si="107"/>
        <v>9.8653895592013319E-2</v>
      </c>
      <c r="H988">
        <f t="shared" si="108"/>
        <v>3.9780628323699361</v>
      </c>
      <c r="I988">
        <f t="shared" si="109"/>
        <v>36.345360875309666</v>
      </c>
      <c r="J988" t="b">
        <f t="shared" si="110"/>
        <v>1</v>
      </c>
      <c r="K988">
        <f t="shared" si="111"/>
        <v>1211</v>
      </c>
    </row>
    <row r="989" spans="1:11" x14ac:dyDescent="0.3">
      <c r="A989" s="1">
        <v>42713</v>
      </c>
      <c r="B989">
        <v>52075.157180000002</v>
      </c>
      <c r="C989">
        <v>46884.142509999998</v>
      </c>
      <c r="D989">
        <v>1291</v>
      </c>
      <c r="E989">
        <f t="shared" si="105"/>
        <v>40.33706985282727</v>
      </c>
      <c r="F989">
        <f t="shared" si="106"/>
        <v>5191.0146700000041</v>
      </c>
      <c r="G989">
        <f t="shared" si="107"/>
        <v>9.9683130135489378E-2</v>
      </c>
      <c r="H989">
        <f t="shared" si="108"/>
        <v>4.0209253834237089</v>
      </c>
      <c r="I989">
        <f t="shared" si="109"/>
        <v>36.316144469403561</v>
      </c>
      <c r="J989" t="b">
        <f t="shared" si="110"/>
        <v>1</v>
      </c>
      <c r="K989">
        <f t="shared" si="111"/>
        <v>1291</v>
      </c>
    </row>
    <row r="990" spans="1:11" x14ac:dyDescent="0.3">
      <c r="A990" t="s">
        <v>596</v>
      </c>
      <c r="B990">
        <v>30424.726259999999</v>
      </c>
      <c r="C990">
        <v>27398.58813</v>
      </c>
      <c r="D990">
        <v>755</v>
      </c>
      <c r="E990">
        <f t="shared" si="105"/>
        <v>40.297650675496691</v>
      </c>
      <c r="F990">
        <f t="shared" si="106"/>
        <v>3026.1381299999994</v>
      </c>
      <c r="G990">
        <f t="shared" si="107"/>
        <v>9.946311773324068E-2</v>
      </c>
      <c r="H990">
        <f t="shared" si="108"/>
        <v>4.0081299735099378</v>
      </c>
      <c r="I990">
        <f t="shared" si="109"/>
        <v>36.289520701986753</v>
      </c>
      <c r="J990" t="b">
        <f t="shared" si="110"/>
        <v>1</v>
      </c>
      <c r="K990">
        <f t="shared" si="111"/>
        <v>755</v>
      </c>
    </row>
    <row r="991" spans="1:11" x14ac:dyDescent="0.3">
      <c r="A991" t="s">
        <v>597</v>
      </c>
      <c r="B991">
        <v>20495.11303</v>
      </c>
      <c r="C991">
        <v>18375.052609999999</v>
      </c>
      <c r="D991">
        <v>508</v>
      </c>
      <c r="E991">
        <f t="shared" si="105"/>
        <v>40.344710688976377</v>
      </c>
      <c r="F991">
        <f t="shared" si="106"/>
        <v>2120.0604200000016</v>
      </c>
      <c r="G991">
        <f t="shared" si="107"/>
        <v>0.10344224093308167</v>
      </c>
      <c r="H991">
        <f t="shared" si="108"/>
        <v>4.1733472834645653</v>
      </c>
      <c r="I991">
        <f t="shared" si="109"/>
        <v>36.171363405511812</v>
      </c>
      <c r="J991" t="b">
        <f t="shared" si="110"/>
        <v>1</v>
      </c>
      <c r="K991">
        <f t="shared" si="111"/>
        <v>508</v>
      </c>
    </row>
    <row r="992" spans="1:11" x14ac:dyDescent="0.3">
      <c r="A992" t="s">
        <v>598</v>
      </c>
      <c r="B992">
        <v>40742.171679999999</v>
      </c>
      <c r="C992">
        <v>36464.759810000003</v>
      </c>
      <c r="D992">
        <v>1010</v>
      </c>
      <c r="E992">
        <f t="shared" si="105"/>
        <v>40.33878384158416</v>
      </c>
      <c r="F992">
        <f t="shared" si="106"/>
        <v>4277.4118699999963</v>
      </c>
      <c r="G992">
        <f t="shared" si="107"/>
        <v>0.10498733115151403</v>
      </c>
      <c r="H992">
        <f t="shared" si="108"/>
        <v>4.2350612574257411</v>
      </c>
      <c r="I992">
        <f t="shared" si="109"/>
        <v>36.103722584158419</v>
      </c>
      <c r="J992" t="b">
        <f t="shared" si="110"/>
        <v>1</v>
      </c>
      <c r="K992">
        <f t="shared" si="111"/>
        <v>1010</v>
      </c>
    </row>
    <row r="993" spans="1:11" x14ac:dyDescent="0.3">
      <c r="A993" t="s">
        <v>599</v>
      </c>
      <c r="B993">
        <v>69864.836989999996</v>
      </c>
      <c r="C993">
        <v>62545.19068</v>
      </c>
      <c r="D993">
        <v>1733</v>
      </c>
      <c r="E993">
        <f t="shared" si="105"/>
        <v>40.31438949221004</v>
      </c>
      <c r="F993">
        <f t="shared" si="106"/>
        <v>7319.6463099999964</v>
      </c>
      <c r="G993">
        <f t="shared" si="107"/>
        <v>0.10476867370416514</v>
      </c>
      <c r="H993">
        <f t="shared" si="108"/>
        <v>4.2236851182919821</v>
      </c>
      <c r="I993">
        <f t="shared" si="109"/>
        <v>36.090704373918058</v>
      </c>
      <c r="J993" t="b">
        <f t="shared" si="110"/>
        <v>1</v>
      </c>
      <c r="K993">
        <f t="shared" si="111"/>
        <v>1733</v>
      </c>
    </row>
    <row r="994" spans="1:11" x14ac:dyDescent="0.3">
      <c r="A994" t="s">
        <v>600</v>
      </c>
      <c r="B994">
        <v>100120.7111</v>
      </c>
      <c r="C994">
        <v>89572.407619999998</v>
      </c>
      <c r="D994">
        <v>2482</v>
      </c>
      <c r="E994">
        <f t="shared" si="105"/>
        <v>40.338723247381147</v>
      </c>
      <c r="F994">
        <f t="shared" si="106"/>
        <v>10548.303480000002</v>
      </c>
      <c r="G994">
        <f t="shared" si="107"/>
        <v>0.10535585858418861</v>
      </c>
      <c r="H994">
        <f t="shared" si="108"/>
        <v>4.2499208219178115</v>
      </c>
      <c r="I994">
        <f t="shared" si="109"/>
        <v>36.088802425463335</v>
      </c>
      <c r="J994" t="b">
        <f t="shared" si="110"/>
        <v>1</v>
      </c>
      <c r="K994">
        <f t="shared" si="111"/>
        <v>2482</v>
      </c>
    </row>
    <row r="995" spans="1:11" x14ac:dyDescent="0.3">
      <c r="A995" t="s">
        <v>601</v>
      </c>
      <c r="B995">
        <v>49825.097040000001</v>
      </c>
      <c r="C995">
        <v>44593.796880000002</v>
      </c>
      <c r="D995">
        <v>1235</v>
      </c>
      <c r="E995">
        <f t="shared" si="105"/>
        <v>40.344208129554659</v>
      </c>
      <c r="F995">
        <f t="shared" si="106"/>
        <v>5231.3001599999989</v>
      </c>
      <c r="G995">
        <f t="shared" si="107"/>
        <v>0.10499327589468151</v>
      </c>
      <c r="H995">
        <f t="shared" si="108"/>
        <v>4.2358705748987902</v>
      </c>
      <c r="I995">
        <f t="shared" si="109"/>
        <v>36.108337554655868</v>
      </c>
      <c r="J995" t="b">
        <f t="shared" si="110"/>
        <v>1</v>
      </c>
      <c r="K995">
        <f t="shared" si="111"/>
        <v>1235</v>
      </c>
    </row>
    <row r="996" spans="1:11" x14ac:dyDescent="0.3">
      <c r="A996" t="s">
        <v>602</v>
      </c>
      <c r="B996">
        <v>46566.462050000002</v>
      </c>
      <c r="C996">
        <v>41660.440430000002</v>
      </c>
      <c r="D996">
        <v>1155</v>
      </c>
      <c r="E996">
        <f t="shared" si="105"/>
        <v>40.317283160173162</v>
      </c>
      <c r="F996">
        <f t="shared" si="106"/>
        <v>4906.0216199999995</v>
      </c>
      <c r="G996">
        <f t="shared" si="107"/>
        <v>0.10535525792645008</v>
      </c>
      <c r="H996">
        <f t="shared" si="108"/>
        <v>4.2476377662337654</v>
      </c>
      <c r="I996">
        <f t="shared" si="109"/>
        <v>36.069645393939396</v>
      </c>
      <c r="J996" t="b">
        <f t="shared" si="110"/>
        <v>1</v>
      </c>
      <c r="K996">
        <f t="shared" si="111"/>
        <v>1155</v>
      </c>
    </row>
    <row r="997" spans="1:11" x14ac:dyDescent="0.3">
      <c r="A997" t="s">
        <v>603</v>
      </c>
      <c r="B997">
        <v>37923.76586</v>
      </c>
      <c r="C997">
        <v>34031.149490000003</v>
      </c>
      <c r="D997">
        <v>940</v>
      </c>
      <c r="E997">
        <f t="shared" si="105"/>
        <v>40.344431765957445</v>
      </c>
      <c r="F997">
        <f t="shared" si="106"/>
        <v>3892.6163699999961</v>
      </c>
      <c r="G997">
        <f t="shared" si="107"/>
        <v>0.10264319172231057</v>
      </c>
      <c r="H997">
        <f t="shared" si="108"/>
        <v>4.1410812446808478</v>
      </c>
      <c r="I997">
        <f t="shared" si="109"/>
        <v>36.203350521276597</v>
      </c>
      <c r="J997" t="b">
        <f t="shared" si="110"/>
        <v>1</v>
      </c>
      <c r="K997">
        <f t="shared" si="111"/>
        <v>940</v>
      </c>
    </row>
    <row r="998" spans="1:11" x14ac:dyDescent="0.3">
      <c r="A998" t="s">
        <v>604</v>
      </c>
      <c r="B998">
        <v>50084.812700000002</v>
      </c>
      <c r="C998">
        <v>44832.212599999999</v>
      </c>
      <c r="D998">
        <v>1241</v>
      </c>
      <c r="E998">
        <f t="shared" si="105"/>
        <v>40.358430862207896</v>
      </c>
      <c r="F998">
        <f t="shared" si="106"/>
        <v>5252.6001000000033</v>
      </c>
      <c r="G998">
        <f t="shared" si="107"/>
        <v>0.10487410887332724</v>
      </c>
      <c r="H998">
        <f t="shared" si="108"/>
        <v>4.2325544721998369</v>
      </c>
      <c r="I998">
        <f t="shared" si="109"/>
        <v>36.12587639000806</v>
      </c>
      <c r="J998" t="b">
        <f t="shared" si="110"/>
        <v>1</v>
      </c>
      <c r="K998">
        <f t="shared" si="111"/>
        <v>1241</v>
      </c>
    </row>
    <row r="999" spans="1:11" x14ac:dyDescent="0.3">
      <c r="A999" t="s">
        <v>605</v>
      </c>
      <c r="B999">
        <v>41885.828280000002</v>
      </c>
      <c r="C999">
        <v>37565.478589999999</v>
      </c>
      <c r="D999">
        <v>1039</v>
      </c>
      <c r="E999">
        <f t="shared" si="105"/>
        <v>40.313597959576519</v>
      </c>
      <c r="F999">
        <f t="shared" si="106"/>
        <v>4320.3496900000027</v>
      </c>
      <c r="G999">
        <f t="shared" si="107"/>
        <v>0.10314585785720083</v>
      </c>
      <c r="H999">
        <f t="shared" si="108"/>
        <v>4.1581806448508232</v>
      </c>
      <c r="I999">
        <f t="shared" si="109"/>
        <v>36.155417314725696</v>
      </c>
      <c r="J999" t="b">
        <f t="shared" si="110"/>
        <v>1</v>
      </c>
      <c r="K999">
        <f t="shared" si="111"/>
        <v>1039</v>
      </c>
    </row>
    <row r="1000" spans="1:11" x14ac:dyDescent="0.3">
      <c r="A1000" t="s">
        <v>606</v>
      </c>
      <c r="B1000">
        <v>147503.57320000001</v>
      </c>
      <c r="C1000">
        <v>131964.51579999999</v>
      </c>
      <c r="D1000">
        <v>3657</v>
      </c>
      <c r="E1000">
        <f t="shared" si="105"/>
        <v>40.334583866557288</v>
      </c>
      <c r="F1000">
        <f t="shared" si="106"/>
        <v>15539.05740000002</v>
      </c>
      <c r="G1000">
        <f t="shared" si="107"/>
        <v>0.10534698965516327</v>
      </c>
      <c r="H1000">
        <f t="shared" si="108"/>
        <v>4.2491269893355224</v>
      </c>
      <c r="I1000">
        <f t="shared" si="109"/>
        <v>36.085456877221766</v>
      </c>
      <c r="J1000" t="b">
        <f t="shared" si="110"/>
        <v>1</v>
      </c>
      <c r="K1000">
        <f t="shared" si="111"/>
        <v>3657</v>
      </c>
    </row>
    <row r="1001" spans="1:11" x14ac:dyDescent="0.3">
      <c r="A1001" t="s">
        <v>607</v>
      </c>
      <c r="B1001">
        <v>151639.1838</v>
      </c>
      <c r="C1001">
        <v>135498.16320000001</v>
      </c>
      <c r="D1001">
        <v>3758</v>
      </c>
      <c r="E1001">
        <f t="shared" si="105"/>
        <v>40.351033475252791</v>
      </c>
      <c r="F1001">
        <f t="shared" si="106"/>
        <v>16141.020599999989</v>
      </c>
      <c r="G1001">
        <f t="shared" si="107"/>
        <v>0.10644359983689117</v>
      </c>
      <c r="H1001">
        <f t="shared" si="108"/>
        <v>4.2951092602448071</v>
      </c>
      <c r="I1001">
        <f t="shared" si="109"/>
        <v>36.055924215007984</v>
      </c>
      <c r="J1001" t="b">
        <f t="shared" si="110"/>
        <v>1</v>
      </c>
      <c r="K1001">
        <f t="shared" si="111"/>
        <v>3758</v>
      </c>
    </row>
    <row r="1002" spans="1:11" x14ac:dyDescent="0.3">
      <c r="A1002" t="s">
        <v>608</v>
      </c>
      <c r="B1002">
        <v>72457.297590000002</v>
      </c>
      <c r="C1002">
        <v>64758.50417</v>
      </c>
      <c r="D1002">
        <v>1797</v>
      </c>
      <c r="E1002">
        <f t="shared" si="105"/>
        <v>40.321256310517533</v>
      </c>
      <c r="F1002">
        <f t="shared" si="106"/>
        <v>7698.7934200000018</v>
      </c>
      <c r="G1002">
        <f t="shared" si="107"/>
        <v>0.10625283685797482</v>
      </c>
      <c r="H1002">
        <f t="shared" si="108"/>
        <v>4.2842478686700076</v>
      </c>
      <c r="I1002">
        <f t="shared" si="109"/>
        <v>36.037008441847526</v>
      </c>
      <c r="J1002" t="b">
        <f t="shared" si="110"/>
        <v>1</v>
      </c>
      <c r="K1002">
        <f t="shared" si="111"/>
        <v>1797</v>
      </c>
    </row>
    <row r="1003" spans="1:11" x14ac:dyDescent="0.3">
      <c r="A1003" t="s">
        <v>609</v>
      </c>
      <c r="B1003">
        <v>67355.061180000004</v>
      </c>
      <c r="C1003">
        <v>60179.020850000001</v>
      </c>
      <c r="D1003">
        <v>1671</v>
      </c>
      <c r="E1003">
        <f t="shared" si="105"/>
        <v>40.308235296229803</v>
      </c>
      <c r="F1003">
        <f t="shared" si="106"/>
        <v>7176.0403300000035</v>
      </c>
      <c r="G1003">
        <f t="shared" si="107"/>
        <v>0.10654047675530599</v>
      </c>
      <c r="H1003">
        <f t="shared" si="108"/>
        <v>4.2944586056253726</v>
      </c>
      <c r="I1003">
        <f t="shared" si="109"/>
        <v>36.013776690604431</v>
      </c>
      <c r="J1003" t="b">
        <f t="shared" si="110"/>
        <v>1</v>
      </c>
      <c r="K1003">
        <f t="shared" si="111"/>
        <v>1671</v>
      </c>
    </row>
    <row r="1004" spans="1:11" x14ac:dyDescent="0.3">
      <c r="A1004" t="s">
        <v>610</v>
      </c>
      <c r="B1004">
        <v>58941.792829999999</v>
      </c>
      <c r="C1004">
        <v>52812.782509999997</v>
      </c>
      <c r="D1004">
        <v>1462</v>
      </c>
      <c r="E1004">
        <f t="shared" si="105"/>
        <v>40.315863768809848</v>
      </c>
      <c r="F1004">
        <f t="shared" si="106"/>
        <v>6129.0103200000012</v>
      </c>
      <c r="G1004">
        <f t="shared" si="107"/>
        <v>0.1039841176476817</v>
      </c>
      <c r="H1004">
        <f t="shared" si="108"/>
        <v>4.1922095212038286</v>
      </c>
      <c r="I1004">
        <f t="shared" si="109"/>
        <v>36.123654247606019</v>
      </c>
      <c r="J1004" t="b">
        <f t="shared" si="110"/>
        <v>1</v>
      </c>
      <c r="K1004">
        <f t="shared" si="111"/>
        <v>1462</v>
      </c>
    </row>
    <row r="1005" spans="1:11" x14ac:dyDescent="0.3">
      <c r="A1005" t="s">
        <v>611</v>
      </c>
      <c r="B1005">
        <v>58796.785020000003</v>
      </c>
      <c r="C1005">
        <v>57168.5605</v>
      </c>
      <c r="D1005">
        <v>1581</v>
      </c>
      <c r="E1005">
        <f t="shared" si="105"/>
        <v>37.189617343453513</v>
      </c>
      <c r="F1005">
        <f t="shared" si="106"/>
        <v>1628.2245200000034</v>
      </c>
      <c r="G1005">
        <f t="shared" si="107"/>
        <v>2.7692407322035636E-2</v>
      </c>
      <c r="H1005">
        <f t="shared" si="108"/>
        <v>1.0298700316255562</v>
      </c>
      <c r="I1005">
        <f t="shared" si="109"/>
        <v>36.159747311827957</v>
      </c>
      <c r="J1005" t="b">
        <f t="shared" si="110"/>
        <v>1</v>
      </c>
      <c r="K1005">
        <f t="shared" si="111"/>
        <v>1581</v>
      </c>
    </row>
    <row r="1006" spans="1:11" x14ac:dyDescent="0.3">
      <c r="A1006" t="s">
        <v>612</v>
      </c>
      <c r="B1006">
        <v>57019.389669999997</v>
      </c>
      <c r="C1006">
        <v>55187.383909999997</v>
      </c>
      <c r="D1006">
        <v>1534</v>
      </c>
      <c r="E1006">
        <f t="shared" si="105"/>
        <v>37.170397438070403</v>
      </c>
      <c r="F1006">
        <f t="shared" si="106"/>
        <v>1832.00576</v>
      </c>
      <c r="G1006">
        <f t="shared" si="107"/>
        <v>3.212952244144917E-2</v>
      </c>
      <c r="H1006">
        <f t="shared" si="108"/>
        <v>1.1942671186440705</v>
      </c>
      <c r="I1006">
        <f t="shared" si="109"/>
        <v>35.976130319426332</v>
      </c>
      <c r="J1006" t="b">
        <f t="shared" si="110"/>
        <v>1</v>
      </c>
      <c r="K1006">
        <f t="shared" si="111"/>
        <v>1534</v>
      </c>
    </row>
    <row r="1007" spans="1:11" x14ac:dyDescent="0.3">
      <c r="A1007" t="s">
        <v>613</v>
      </c>
      <c r="B1007">
        <v>155918.38260000001</v>
      </c>
      <c r="C1007">
        <v>151036.4455</v>
      </c>
      <c r="D1007">
        <v>4216</v>
      </c>
      <c r="E1007">
        <f t="shared" si="105"/>
        <v>36.982538567362433</v>
      </c>
      <c r="F1007">
        <f t="shared" si="106"/>
        <v>4881.9371000000101</v>
      </c>
      <c r="G1007">
        <f t="shared" si="107"/>
        <v>3.1310850065218734E-2</v>
      </c>
      <c r="H1007">
        <f t="shared" si="108"/>
        <v>1.1579547201138567</v>
      </c>
      <c r="I1007">
        <f t="shared" si="109"/>
        <v>35.824583847248576</v>
      </c>
      <c r="J1007" t="b">
        <f t="shared" si="110"/>
        <v>1</v>
      </c>
      <c r="K1007">
        <f t="shared" si="111"/>
        <v>4216</v>
      </c>
    </row>
    <row r="1008" spans="1:11" x14ac:dyDescent="0.3">
      <c r="A1008" s="1">
        <v>42379</v>
      </c>
      <c r="B1008">
        <v>208489.09030000001</v>
      </c>
      <c r="C1008">
        <v>201416.8376</v>
      </c>
      <c r="D1008">
        <v>5632</v>
      </c>
      <c r="E1008">
        <f t="shared" si="105"/>
        <v>37.018659499289775</v>
      </c>
      <c r="F1008">
        <f t="shared" si="106"/>
        <v>7072.2527000000118</v>
      </c>
      <c r="G1008">
        <f t="shared" si="107"/>
        <v>3.392145214804082E-2</v>
      </c>
      <c r="H1008">
        <f t="shared" si="108"/>
        <v>1.2557266867897781</v>
      </c>
      <c r="I1008">
        <f t="shared" si="109"/>
        <v>35.762932812499997</v>
      </c>
      <c r="J1008" t="b">
        <f t="shared" si="110"/>
        <v>1</v>
      </c>
      <c r="K1008">
        <f t="shared" si="111"/>
        <v>5632</v>
      </c>
    </row>
    <row r="1009" spans="1:11" x14ac:dyDescent="0.3">
      <c r="A1009" s="1">
        <v>42410</v>
      </c>
      <c r="B1009">
        <v>118580.47259999999</v>
      </c>
      <c r="C1009">
        <v>113346.95729999999</v>
      </c>
      <c r="D1009">
        <v>3173</v>
      </c>
      <c r="E1009">
        <f t="shared" si="105"/>
        <v>37.371721588402139</v>
      </c>
      <c r="F1009">
        <f t="shared" si="106"/>
        <v>5233.5152999999991</v>
      </c>
      <c r="G1009">
        <f t="shared" si="107"/>
        <v>4.4134714470685954E-2</v>
      </c>
      <c r="H1009">
        <f t="shared" si="108"/>
        <v>1.6493902615820986</v>
      </c>
      <c r="I1009">
        <f t="shared" si="109"/>
        <v>35.72233132682004</v>
      </c>
      <c r="J1009" t="b">
        <f t="shared" si="110"/>
        <v>1</v>
      </c>
      <c r="K1009">
        <f t="shared" si="111"/>
        <v>3173</v>
      </c>
    </row>
    <row r="1010" spans="1:11" x14ac:dyDescent="0.3">
      <c r="A1010" s="1">
        <v>42439</v>
      </c>
      <c r="B1010">
        <v>142758.8811</v>
      </c>
      <c r="C1010">
        <v>126506.3447</v>
      </c>
      <c r="D1010">
        <v>3540</v>
      </c>
      <c r="E1010">
        <f t="shared" si="105"/>
        <v>40.327367542372883</v>
      </c>
      <c r="F1010">
        <f t="shared" si="106"/>
        <v>16252.536399999997</v>
      </c>
      <c r="G1010">
        <f t="shared" si="107"/>
        <v>0.11384606179853281</v>
      </c>
      <c r="H1010">
        <f t="shared" si="108"/>
        <v>4.591111977401134</v>
      </c>
      <c r="I1010">
        <f t="shared" si="109"/>
        <v>35.736255564971749</v>
      </c>
      <c r="J1010" t="b">
        <f t="shared" si="110"/>
        <v>1</v>
      </c>
      <c r="K1010">
        <f t="shared" si="111"/>
        <v>3540</v>
      </c>
    </row>
    <row r="1011" spans="1:11" x14ac:dyDescent="0.3">
      <c r="A1011" s="1">
        <v>42470</v>
      </c>
      <c r="B1011">
        <v>96620.986929999999</v>
      </c>
      <c r="C1011">
        <v>85491.833240000007</v>
      </c>
      <c r="D1011">
        <v>2397</v>
      </c>
      <c r="E1011">
        <f t="shared" si="105"/>
        <v>40.309130967876513</v>
      </c>
      <c r="F1011">
        <f t="shared" si="106"/>
        <v>11129.153689999992</v>
      </c>
      <c r="G1011">
        <f t="shared" si="107"/>
        <v>0.1151836060012805</v>
      </c>
      <c r="H1011">
        <f t="shared" si="108"/>
        <v>4.6429510596579036</v>
      </c>
      <c r="I1011">
        <f t="shared" si="109"/>
        <v>35.666179908218609</v>
      </c>
      <c r="J1011" t="b">
        <f t="shared" si="110"/>
        <v>1</v>
      </c>
      <c r="K1011">
        <f t="shared" si="111"/>
        <v>2397</v>
      </c>
    </row>
    <row r="1012" spans="1:11" x14ac:dyDescent="0.3">
      <c r="A1012" s="1">
        <v>42500</v>
      </c>
      <c r="B1012">
        <v>78861.594939999995</v>
      </c>
      <c r="C1012">
        <v>69675.429149999996</v>
      </c>
      <c r="D1012">
        <v>1955</v>
      </c>
      <c r="E1012">
        <f t="shared" si="105"/>
        <v>40.338411734015345</v>
      </c>
      <c r="F1012">
        <f t="shared" si="106"/>
        <v>9186.1657899999991</v>
      </c>
      <c r="G1012">
        <f t="shared" si="107"/>
        <v>0.11648465640327309</v>
      </c>
      <c r="H1012">
        <f t="shared" si="108"/>
        <v>4.698806030690541</v>
      </c>
      <c r="I1012">
        <f t="shared" si="109"/>
        <v>35.639605703324804</v>
      </c>
      <c r="J1012" t="b">
        <f t="shared" si="110"/>
        <v>1</v>
      </c>
      <c r="K1012">
        <f t="shared" si="111"/>
        <v>1955</v>
      </c>
    </row>
    <row r="1013" spans="1:11" x14ac:dyDescent="0.3">
      <c r="A1013" s="1">
        <v>42531</v>
      </c>
      <c r="B1013">
        <v>70279.474390000003</v>
      </c>
      <c r="C1013">
        <v>61976.305789999999</v>
      </c>
      <c r="D1013">
        <v>1740</v>
      </c>
      <c r="E1013">
        <f t="shared" si="105"/>
        <v>40.390502522988506</v>
      </c>
      <c r="F1013">
        <f t="shared" si="106"/>
        <v>8303.1686000000045</v>
      </c>
      <c r="G1013">
        <f t="shared" si="107"/>
        <v>0.11814500139718538</v>
      </c>
      <c r="H1013">
        <f t="shared" si="108"/>
        <v>4.7719359770114949</v>
      </c>
      <c r="I1013">
        <f t="shared" si="109"/>
        <v>35.618566545977011</v>
      </c>
      <c r="J1013" t="b">
        <f t="shared" si="110"/>
        <v>1</v>
      </c>
      <c r="K1013">
        <f t="shared" si="111"/>
        <v>1740</v>
      </c>
    </row>
    <row r="1014" spans="1:11" x14ac:dyDescent="0.3">
      <c r="A1014" s="1">
        <v>42561</v>
      </c>
      <c r="B1014">
        <v>87748.862890000004</v>
      </c>
      <c r="C1014">
        <v>77446.60944</v>
      </c>
      <c r="D1014">
        <v>2176</v>
      </c>
      <c r="E1014">
        <f t="shared" si="105"/>
        <v>40.325764195772059</v>
      </c>
      <c r="F1014">
        <f t="shared" si="106"/>
        <v>10302.253450000004</v>
      </c>
      <c r="G1014">
        <f t="shared" si="107"/>
        <v>0.1174061191301667</v>
      </c>
      <c r="H1014">
        <f t="shared" si="108"/>
        <v>4.7344914751838232</v>
      </c>
      <c r="I1014">
        <f t="shared" si="109"/>
        <v>35.591272720588236</v>
      </c>
      <c r="J1014" t="b">
        <f t="shared" si="110"/>
        <v>1</v>
      </c>
      <c r="K1014">
        <f t="shared" si="111"/>
        <v>2176</v>
      </c>
    </row>
    <row r="1015" spans="1:11" x14ac:dyDescent="0.3">
      <c r="A1015" s="1">
        <v>42592</v>
      </c>
      <c r="B1015">
        <v>92053.325769999996</v>
      </c>
      <c r="C1015">
        <v>81209.248349999994</v>
      </c>
      <c r="D1015">
        <v>2283</v>
      </c>
      <c r="E1015">
        <f t="shared" si="105"/>
        <v>40.321211462987293</v>
      </c>
      <c r="F1015">
        <f t="shared" si="106"/>
        <v>10844.077420000001</v>
      </c>
      <c r="G1015">
        <f t="shared" si="107"/>
        <v>0.11780212533650865</v>
      </c>
      <c r="H1015">
        <f t="shared" si="108"/>
        <v>4.7499244064826982</v>
      </c>
      <c r="I1015">
        <f t="shared" si="109"/>
        <v>35.571287056504595</v>
      </c>
      <c r="J1015" t="b">
        <f t="shared" si="110"/>
        <v>1</v>
      </c>
      <c r="K1015">
        <f t="shared" si="111"/>
        <v>2283</v>
      </c>
    </row>
    <row r="1016" spans="1:11" x14ac:dyDescent="0.3">
      <c r="A1016" s="1">
        <v>42623</v>
      </c>
      <c r="B1016">
        <v>51751.383249999999</v>
      </c>
      <c r="C1016">
        <v>45607.234100000001</v>
      </c>
      <c r="D1016">
        <v>1284</v>
      </c>
      <c r="E1016">
        <f t="shared" si="105"/>
        <v>40.304815615264793</v>
      </c>
      <c r="F1016">
        <f t="shared" si="106"/>
        <v>6144.1491499999975</v>
      </c>
      <c r="G1016">
        <f t="shared" si="107"/>
        <v>0.11872434636807505</v>
      </c>
      <c r="H1016">
        <f t="shared" si="108"/>
        <v>4.7851628894080918</v>
      </c>
      <c r="I1016">
        <f t="shared" si="109"/>
        <v>35.519652725856702</v>
      </c>
      <c r="J1016" t="b">
        <f t="shared" si="110"/>
        <v>1</v>
      </c>
      <c r="K1016">
        <f t="shared" si="111"/>
        <v>1284</v>
      </c>
    </row>
    <row r="1017" spans="1:11" x14ac:dyDescent="0.3">
      <c r="A1017" s="1">
        <v>42653</v>
      </c>
      <c r="B1017">
        <v>50934.983189999999</v>
      </c>
      <c r="C1017">
        <v>44983.777300000002</v>
      </c>
      <c r="D1017">
        <v>1263</v>
      </c>
      <c r="E1017">
        <f t="shared" si="105"/>
        <v>40.328569429928741</v>
      </c>
      <c r="F1017">
        <f t="shared" si="106"/>
        <v>5951.2058899999975</v>
      </c>
      <c r="G1017">
        <f t="shared" si="107"/>
        <v>0.11683926286577022</v>
      </c>
      <c r="H1017">
        <f t="shared" si="108"/>
        <v>4.7119603246239095</v>
      </c>
      <c r="I1017">
        <f t="shared" si="109"/>
        <v>35.616609105304832</v>
      </c>
      <c r="J1017" t="b">
        <f t="shared" si="110"/>
        <v>1</v>
      </c>
      <c r="K1017">
        <f t="shared" si="111"/>
        <v>1263</v>
      </c>
    </row>
    <row r="1018" spans="1:11" x14ac:dyDescent="0.3">
      <c r="A1018" s="1">
        <v>42684</v>
      </c>
      <c r="B1018">
        <v>36113.934869999997</v>
      </c>
      <c r="C1018">
        <v>31885.28845</v>
      </c>
      <c r="D1018">
        <v>896</v>
      </c>
      <c r="E1018">
        <f t="shared" si="105"/>
        <v>40.305730881696427</v>
      </c>
      <c r="F1018">
        <f t="shared" si="106"/>
        <v>4228.6464199999973</v>
      </c>
      <c r="G1018">
        <f t="shared" si="107"/>
        <v>0.11709182162569474</v>
      </c>
      <c r="H1018">
        <f t="shared" si="108"/>
        <v>4.7194714508928541</v>
      </c>
      <c r="I1018">
        <f t="shared" si="109"/>
        <v>35.586259430803572</v>
      </c>
      <c r="J1018" t="b">
        <f t="shared" si="110"/>
        <v>1</v>
      </c>
      <c r="K1018">
        <f t="shared" si="111"/>
        <v>896</v>
      </c>
    </row>
    <row r="1019" spans="1:11" x14ac:dyDescent="0.3">
      <c r="A1019" s="1">
        <v>42714</v>
      </c>
      <c r="B1019">
        <v>31023.359769999999</v>
      </c>
      <c r="C1019">
        <v>27817.642469999999</v>
      </c>
      <c r="D1019">
        <v>768</v>
      </c>
      <c r="E1019">
        <f t="shared" si="105"/>
        <v>40.394999700520835</v>
      </c>
      <c r="F1019">
        <f t="shared" si="106"/>
        <v>3205.7173000000003</v>
      </c>
      <c r="G1019">
        <f t="shared" si="107"/>
        <v>0.10333237030954885</v>
      </c>
      <c r="H1019">
        <f t="shared" si="108"/>
        <v>4.1741110677083384</v>
      </c>
      <c r="I1019">
        <f t="shared" si="109"/>
        <v>36.220888632812496</v>
      </c>
      <c r="J1019" t="b">
        <f t="shared" si="110"/>
        <v>1</v>
      </c>
      <c r="K1019">
        <f t="shared" si="111"/>
        <v>768</v>
      </c>
    </row>
    <row r="1020" spans="1:11" x14ac:dyDescent="0.3">
      <c r="A1020" t="s">
        <v>614</v>
      </c>
      <c r="B1020">
        <v>22334.212530000001</v>
      </c>
      <c r="C1020">
        <v>19704.093150000001</v>
      </c>
      <c r="D1020">
        <v>521</v>
      </c>
      <c r="E1020">
        <f t="shared" si="105"/>
        <v>42.867970307101729</v>
      </c>
      <c r="F1020">
        <f t="shared" si="106"/>
        <v>2630.1193800000001</v>
      </c>
      <c r="G1020">
        <f t="shared" si="107"/>
        <v>0.11776190346837359</v>
      </c>
      <c r="H1020">
        <f t="shared" si="108"/>
        <v>5.0482137811900216</v>
      </c>
      <c r="I1020">
        <f t="shared" si="109"/>
        <v>37.819756525911707</v>
      </c>
      <c r="J1020" t="b">
        <f t="shared" si="110"/>
        <v>1</v>
      </c>
      <c r="K1020">
        <f t="shared" si="111"/>
        <v>521</v>
      </c>
    </row>
    <row r="1021" spans="1:11" x14ac:dyDescent="0.3">
      <c r="A1021" t="s">
        <v>615</v>
      </c>
      <c r="B1021">
        <v>69440.928799999994</v>
      </c>
      <c r="C1021">
        <v>62070.751179999999</v>
      </c>
      <c r="D1021">
        <v>1618</v>
      </c>
      <c r="E1021">
        <f t="shared" si="105"/>
        <v>42.917755747836829</v>
      </c>
      <c r="F1021">
        <f t="shared" si="106"/>
        <v>7370.1776199999949</v>
      </c>
      <c r="G1021">
        <f t="shared" si="107"/>
        <v>0.10613593088921926</v>
      </c>
      <c r="H1021">
        <f t="shared" si="108"/>
        <v>4.5551159579728022</v>
      </c>
      <c r="I1021">
        <f t="shared" si="109"/>
        <v>38.362639789864026</v>
      </c>
      <c r="J1021" t="b">
        <f t="shared" si="110"/>
        <v>1</v>
      </c>
      <c r="K1021">
        <f t="shared" si="111"/>
        <v>1618</v>
      </c>
    </row>
    <row r="1022" spans="1:11" x14ac:dyDescent="0.3">
      <c r="A1022" t="s">
        <v>616</v>
      </c>
      <c r="B1022">
        <v>92159.029790000001</v>
      </c>
      <c r="C1022">
        <v>83371.817020000002</v>
      </c>
      <c r="D1022">
        <v>2147</v>
      </c>
      <c r="E1022">
        <f t="shared" si="105"/>
        <v>42.924559753143924</v>
      </c>
      <c r="F1022">
        <f t="shared" si="106"/>
        <v>8787.2127699999983</v>
      </c>
      <c r="G1022">
        <f t="shared" si="107"/>
        <v>9.5348364560945947E-2</v>
      </c>
      <c r="H1022">
        <f t="shared" si="108"/>
        <v>4.0927865719608789</v>
      </c>
      <c r="I1022">
        <f t="shared" si="109"/>
        <v>38.831773181183046</v>
      </c>
      <c r="J1022" t="b">
        <f t="shared" si="110"/>
        <v>1</v>
      </c>
      <c r="K1022">
        <f t="shared" si="111"/>
        <v>2147</v>
      </c>
    </row>
    <row r="1023" spans="1:11" x14ac:dyDescent="0.3">
      <c r="A1023" t="s">
        <v>617</v>
      </c>
      <c r="B1023">
        <v>57296.287850000001</v>
      </c>
      <c r="C1023">
        <v>52701.294609999997</v>
      </c>
      <c r="D1023">
        <v>1335</v>
      </c>
      <c r="E1023">
        <f t="shared" si="105"/>
        <v>42.918567677902622</v>
      </c>
      <c r="F1023">
        <f t="shared" si="106"/>
        <v>4594.9932400000034</v>
      </c>
      <c r="G1023">
        <f t="shared" si="107"/>
        <v>8.0197049624393835E-2</v>
      </c>
      <c r="H1023">
        <f t="shared" si="108"/>
        <v>3.4419425018726599</v>
      </c>
      <c r="I1023">
        <f t="shared" si="109"/>
        <v>39.476625176029962</v>
      </c>
      <c r="J1023" t="b">
        <f t="shared" si="110"/>
        <v>1</v>
      </c>
      <c r="K1023">
        <f t="shared" si="111"/>
        <v>1335</v>
      </c>
    </row>
    <row r="1024" spans="1:11" x14ac:dyDescent="0.3">
      <c r="A1024" t="s">
        <v>618</v>
      </c>
      <c r="B1024">
        <v>57184.941270000003</v>
      </c>
      <c r="C1024">
        <v>51764.93737</v>
      </c>
      <c r="D1024">
        <v>1332</v>
      </c>
      <c r="E1024">
        <f t="shared" si="105"/>
        <v>42.931637590090091</v>
      </c>
      <c r="F1024">
        <f t="shared" si="106"/>
        <v>5420.0039000000033</v>
      </c>
      <c r="G1024">
        <f t="shared" si="107"/>
        <v>9.4780265217189463E-2</v>
      </c>
      <c r="H1024">
        <f t="shared" si="108"/>
        <v>4.0690719969969962</v>
      </c>
      <c r="I1024">
        <f t="shared" si="109"/>
        <v>38.862565593093095</v>
      </c>
      <c r="J1024" t="b">
        <f t="shared" si="110"/>
        <v>1</v>
      </c>
      <c r="K1024">
        <f t="shared" si="111"/>
        <v>1332</v>
      </c>
    </row>
    <row r="1025" spans="1:11" x14ac:dyDescent="0.3">
      <c r="A1025" t="s">
        <v>619</v>
      </c>
      <c r="B1025">
        <v>40951.10428</v>
      </c>
      <c r="C1025">
        <v>37288.62455</v>
      </c>
      <c r="D1025">
        <v>954</v>
      </c>
      <c r="E1025">
        <f t="shared" si="105"/>
        <v>42.925685828092242</v>
      </c>
      <c r="F1025">
        <f t="shared" si="106"/>
        <v>3662.4797299999991</v>
      </c>
      <c r="G1025">
        <f t="shared" si="107"/>
        <v>8.943543267986323E-2</v>
      </c>
      <c r="H1025">
        <f t="shared" si="108"/>
        <v>3.8390772851153017</v>
      </c>
      <c r="I1025">
        <f t="shared" si="109"/>
        <v>39.08660854297694</v>
      </c>
      <c r="J1025" t="b">
        <f t="shared" si="110"/>
        <v>1</v>
      </c>
      <c r="K1025">
        <f t="shared" si="111"/>
        <v>954</v>
      </c>
    </row>
    <row r="1026" spans="1:11" x14ac:dyDescent="0.3">
      <c r="A1026" t="s">
        <v>620</v>
      </c>
      <c r="B1026">
        <v>37672.447289999996</v>
      </c>
      <c r="C1026">
        <v>33678.459269999999</v>
      </c>
      <c r="D1026">
        <v>877</v>
      </c>
      <c r="E1026">
        <f t="shared" si="105"/>
        <v>42.956040239452676</v>
      </c>
      <c r="F1026">
        <f t="shared" si="106"/>
        <v>3993.9880199999971</v>
      </c>
      <c r="G1026">
        <f t="shared" si="107"/>
        <v>0.10601880969543982</v>
      </c>
      <c r="H1026">
        <f t="shared" si="108"/>
        <v>4.5541482554161874</v>
      </c>
      <c r="I1026">
        <f t="shared" si="109"/>
        <v>38.401891984036489</v>
      </c>
      <c r="J1026" t="b">
        <f t="shared" si="110"/>
        <v>1</v>
      </c>
      <c r="K1026">
        <f t="shared" si="111"/>
        <v>877</v>
      </c>
    </row>
    <row r="1027" spans="1:11" x14ac:dyDescent="0.3">
      <c r="A1027" t="s">
        <v>621</v>
      </c>
      <c r="B1027">
        <v>38648.137519999997</v>
      </c>
      <c r="C1027">
        <v>35038.06869</v>
      </c>
      <c r="D1027">
        <v>906</v>
      </c>
      <c r="E1027">
        <f t="shared" ref="E1027:E1061" si="112">B1027/D1027</f>
        <v>42.657988432671075</v>
      </c>
      <c r="F1027">
        <f t="shared" ref="F1027:F1054" si="113">B1027-C1027</f>
        <v>3610.0688299999965</v>
      </c>
      <c r="G1027">
        <f t="shared" ref="G1027:H1054" si="114">F1027/B1027</f>
        <v>9.3408610651207313E-2</v>
      </c>
      <c r="H1027">
        <f t="shared" ref="H1027:H1054" si="115">E1027-I1027</f>
        <v>3.9846234326710785</v>
      </c>
      <c r="I1027">
        <f t="shared" ref="I1027:I1054" si="116">C1027/D1027</f>
        <v>38.673364999999997</v>
      </c>
      <c r="J1027" t="b">
        <f t="shared" ref="J1027:J1054" si="117">H1027&gt;0</f>
        <v>1</v>
      </c>
      <c r="K1027">
        <f t="shared" ref="K1027:K1054" si="118">D1027</f>
        <v>906</v>
      </c>
    </row>
    <row r="1028" spans="1:11" x14ac:dyDescent="0.3">
      <c r="A1028" t="s">
        <v>622</v>
      </c>
      <c r="B1028">
        <v>96020.545370000007</v>
      </c>
      <c r="C1028">
        <v>86810.277530000007</v>
      </c>
      <c r="D1028">
        <v>2249</v>
      </c>
      <c r="E1028">
        <f t="shared" si="112"/>
        <v>42.694773397065369</v>
      </c>
      <c r="F1028">
        <f t="shared" si="113"/>
        <v>9210.2678400000004</v>
      </c>
      <c r="G1028">
        <f t="shared" si="114"/>
        <v>9.5919761802119405E-2</v>
      </c>
      <c r="H1028">
        <f t="shared" si="115"/>
        <v>4.0952724944419785</v>
      </c>
      <c r="I1028">
        <f t="shared" si="116"/>
        <v>38.59950090262339</v>
      </c>
      <c r="J1028" t="b">
        <f t="shared" si="117"/>
        <v>1</v>
      </c>
      <c r="K1028">
        <f t="shared" si="118"/>
        <v>2249</v>
      </c>
    </row>
    <row r="1029" spans="1:11" x14ac:dyDescent="0.3">
      <c r="A1029" t="s">
        <v>623</v>
      </c>
      <c r="B1029">
        <v>105662.59420000001</v>
      </c>
      <c r="C1029">
        <v>95930.016510000001</v>
      </c>
      <c r="D1029">
        <v>2472</v>
      </c>
      <c r="E1029">
        <f t="shared" si="112"/>
        <v>42.743767880258901</v>
      </c>
      <c r="F1029">
        <f t="shared" si="113"/>
        <v>9732.5776900000055</v>
      </c>
      <c r="G1029">
        <f t="shared" si="114"/>
        <v>9.2109963451947927E-2</v>
      </c>
      <c r="H1029">
        <f t="shared" si="115"/>
        <v>3.9371268972491933</v>
      </c>
      <c r="I1029">
        <f t="shared" si="116"/>
        <v>38.806640983009707</v>
      </c>
      <c r="J1029" t="b">
        <f t="shared" si="117"/>
        <v>1</v>
      </c>
      <c r="K1029">
        <f t="shared" si="118"/>
        <v>2472</v>
      </c>
    </row>
    <row r="1030" spans="1:11" x14ac:dyDescent="0.3">
      <c r="A1030" t="s">
        <v>624</v>
      </c>
      <c r="B1030">
        <v>54738.483520000002</v>
      </c>
      <c r="C1030">
        <v>49990.519289999997</v>
      </c>
      <c r="D1030">
        <v>1280</v>
      </c>
      <c r="E1030">
        <f t="shared" si="112"/>
        <v>42.76444025</v>
      </c>
      <c r="F1030">
        <f t="shared" si="113"/>
        <v>4747.964230000005</v>
      </c>
      <c r="G1030">
        <f t="shared" si="114"/>
        <v>8.6739053124575943E-2</v>
      </c>
      <c r="H1030">
        <f t="shared" si="115"/>
        <v>3.7093470546875054</v>
      </c>
      <c r="I1030">
        <f t="shared" si="116"/>
        <v>39.055093195312494</v>
      </c>
      <c r="J1030" t="b">
        <f t="shared" si="117"/>
        <v>1</v>
      </c>
      <c r="K1030">
        <f t="shared" si="118"/>
        <v>1280</v>
      </c>
    </row>
    <row r="1031" spans="1:11" x14ac:dyDescent="0.3">
      <c r="A1031" t="s">
        <v>625</v>
      </c>
      <c r="B1031">
        <v>40131.573510000002</v>
      </c>
      <c r="C1031">
        <v>36347.69872</v>
      </c>
      <c r="D1031">
        <v>940</v>
      </c>
      <c r="E1031">
        <f t="shared" si="112"/>
        <v>42.693163308510641</v>
      </c>
      <c r="F1031">
        <f t="shared" si="113"/>
        <v>3783.8747900000017</v>
      </c>
      <c r="G1031">
        <f t="shared" si="114"/>
        <v>9.4286728853458346E-2</v>
      </c>
      <c r="H1031">
        <f t="shared" si="115"/>
        <v>4.0253987127659627</v>
      </c>
      <c r="I1031">
        <f t="shared" si="116"/>
        <v>38.667764595744679</v>
      </c>
      <c r="J1031" t="b">
        <f t="shared" si="117"/>
        <v>1</v>
      </c>
      <c r="K1031">
        <f t="shared" si="118"/>
        <v>940</v>
      </c>
    </row>
    <row r="1032" spans="1:11" x14ac:dyDescent="0.3">
      <c r="A1032" t="s">
        <v>626</v>
      </c>
      <c r="B1032">
        <v>70402.991930000004</v>
      </c>
      <c r="C1032">
        <v>63452.761039999998</v>
      </c>
      <c r="D1032">
        <v>1650</v>
      </c>
      <c r="E1032">
        <f t="shared" si="112"/>
        <v>42.668479957575762</v>
      </c>
      <c r="F1032">
        <f t="shared" si="113"/>
        <v>6950.2308900000062</v>
      </c>
      <c r="G1032">
        <f t="shared" si="114"/>
        <v>9.8720675066060443E-2</v>
      </c>
      <c r="H1032">
        <f t="shared" si="115"/>
        <v>4.2122611454545549</v>
      </c>
      <c r="I1032">
        <f t="shared" si="116"/>
        <v>38.456218812121207</v>
      </c>
      <c r="J1032" t="b">
        <f t="shared" si="117"/>
        <v>1</v>
      </c>
      <c r="K1032">
        <f t="shared" si="118"/>
        <v>1650</v>
      </c>
    </row>
    <row r="1033" spans="1:11" x14ac:dyDescent="0.3">
      <c r="A1033" t="s">
        <v>627</v>
      </c>
      <c r="B1033">
        <v>62501.740700000002</v>
      </c>
      <c r="C1033">
        <v>56100.87429</v>
      </c>
      <c r="D1033">
        <v>1467</v>
      </c>
      <c r="E1033">
        <f t="shared" si="112"/>
        <v>42.605140218132242</v>
      </c>
      <c r="F1033">
        <f t="shared" si="113"/>
        <v>6400.8664100000024</v>
      </c>
      <c r="G1033">
        <f t="shared" si="114"/>
        <v>0.10241101029047023</v>
      </c>
      <c r="H1033">
        <f t="shared" si="115"/>
        <v>4.3632354533060678</v>
      </c>
      <c r="I1033">
        <f t="shared" si="116"/>
        <v>38.241904764826174</v>
      </c>
      <c r="J1033" t="b">
        <f t="shared" si="117"/>
        <v>1</v>
      </c>
      <c r="K1033">
        <f t="shared" si="118"/>
        <v>1467</v>
      </c>
    </row>
    <row r="1034" spans="1:11" x14ac:dyDescent="0.3">
      <c r="A1034" t="s">
        <v>628</v>
      </c>
      <c r="B1034">
        <v>53675.218280000001</v>
      </c>
      <c r="C1034">
        <v>48201.940979999999</v>
      </c>
      <c r="D1034">
        <v>1257</v>
      </c>
      <c r="E1034">
        <f t="shared" si="112"/>
        <v>42.701048750994431</v>
      </c>
      <c r="F1034">
        <f t="shared" si="113"/>
        <v>5473.2773000000016</v>
      </c>
      <c r="G1034">
        <f t="shared" si="114"/>
        <v>0.10197028489848559</v>
      </c>
      <c r="H1034">
        <f t="shared" si="115"/>
        <v>4.3542381066030202</v>
      </c>
      <c r="I1034">
        <f t="shared" si="116"/>
        <v>38.346810644391411</v>
      </c>
      <c r="J1034" t="b">
        <f t="shared" si="117"/>
        <v>1</v>
      </c>
      <c r="K1034">
        <f t="shared" si="118"/>
        <v>1257</v>
      </c>
    </row>
    <row r="1035" spans="1:11" x14ac:dyDescent="0.3">
      <c r="A1035" t="s">
        <v>629</v>
      </c>
      <c r="B1035">
        <v>102606.327</v>
      </c>
      <c r="C1035">
        <v>92657.699529999998</v>
      </c>
      <c r="D1035">
        <v>2405</v>
      </c>
      <c r="E1035">
        <f t="shared" si="112"/>
        <v>42.663753430353431</v>
      </c>
      <c r="F1035">
        <f t="shared" si="113"/>
        <v>9948.6274700000067</v>
      </c>
      <c r="G1035">
        <f t="shared" si="114"/>
        <v>9.6959200868772993E-2</v>
      </c>
      <c r="H1035">
        <f t="shared" si="115"/>
        <v>4.136643438669438</v>
      </c>
      <c r="I1035">
        <f t="shared" si="116"/>
        <v>38.527109991683993</v>
      </c>
      <c r="J1035" t="b">
        <f t="shared" si="117"/>
        <v>1</v>
      </c>
      <c r="K1035">
        <f t="shared" si="118"/>
        <v>2405</v>
      </c>
    </row>
    <row r="1036" spans="1:11" x14ac:dyDescent="0.3">
      <c r="A1036" t="s">
        <v>630</v>
      </c>
      <c r="B1036">
        <v>124988.15549999999</v>
      </c>
      <c r="C1036">
        <v>113187.84600000001</v>
      </c>
      <c r="D1036">
        <v>2929</v>
      </c>
      <c r="E1036">
        <f t="shared" si="112"/>
        <v>42.672637589621026</v>
      </c>
      <c r="F1036">
        <f t="shared" si="113"/>
        <v>11800.309499999988</v>
      </c>
      <c r="G1036">
        <f t="shared" si="114"/>
        <v>9.4411422048707561E-2</v>
      </c>
      <c r="H1036">
        <f t="shared" si="115"/>
        <v>4.0287843974052535</v>
      </c>
      <c r="I1036">
        <f t="shared" si="116"/>
        <v>38.643853192215772</v>
      </c>
      <c r="J1036" t="b">
        <f t="shared" si="117"/>
        <v>1</v>
      </c>
      <c r="K1036">
        <f t="shared" si="118"/>
        <v>2929</v>
      </c>
    </row>
    <row r="1037" spans="1:11" x14ac:dyDescent="0.3">
      <c r="A1037" t="s">
        <v>631</v>
      </c>
      <c r="B1037">
        <v>67521.037490000002</v>
      </c>
      <c r="C1037">
        <v>61233.718869999997</v>
      </c>
      <c r="D1037">
        <v>1582</v>
      </c>
      <c r="E1037">
        <f t="shared" si="112"/>
        <v>42.680807515802783</v>
      </c>
      <c r="F1037">
        <f t="shared" si="113"/>
        <v>6287.3186200000055</v>
      </c>
      <c r="G1037">
        <f t="shared" si="114"/>
        <v>9.3116439760440137E-2</v>
      </c>
      <c r="H1037">
        <f t="shared" si="115"/>
        <v>3.9742848419721923</v>
      </c>
      <c r="I1037">
        <f t="shared" si="116"/>
        <v>38.706522673830591</v>
      </c>
      <c r="J1037" t="b">
        <f t="shared" si="117"/>
        <v>1</v>
      </c>
      <c r="K1037">
        <f t="shared" si="118"/>
        <v>1582</v>
      </c>
    </row>
    <row r="1038" spans="1:11" x14ac:dyDescent="0.3">
      <c r="A1038" t="s">
        <v>632</v>
      </c>
      <c r="B1038">
        <v>70020.596009999994</v>
      </c>
      <c r="C1038">
        <v>62316.151339999997</v>
      </c>
      <c r="D1038">
        <v>1639</v>
      </c>
      <c r="E1038">
        <f t="shared" si="112"/>
        <v>42.721535088468578</v>
      </c>
      <c r="F1038">
        <f t="shared" si="113"/>
        <v>7704.4446699999971</v>
      </c>
      <c r="G1038">
        <f t="shared" si="114"/>
        <v>0.11003112097045969</v>
      </c>
      <c r="H1038">
        <f t="shared" si="115"/>
        <v>4.7006983953630268</v>
      </c>
      <c r="I1038">
        <f t="shared" si="116"/>
        <v>38.020836693105551</v>
      </c>
      <c r="J1038" t="b">
        <f t="shared" si="117"/>
        <v>1</v>
      </c>
      <c r="K1038">
        <f t="shared" si="118"/>
        <v>1639</v>
      </c>
    </row>
    <row r="1039" spans="1:11" x14ac:dyDescent="0.3">
      <c r="A1039" s="1">
        <v>42380</v>
      </c>
      <c r="B1039">
        <v>126954.17019999999</v>
      </c>
      <c r="C1039">
        <v>110698.7429</v>
      </c>
      <c r="D1039">
        <v>2971</v>
      </c>
      <c r="E1039">
        <f t="shared" si="112"/>
        <v>42.731124267923256</v>
      </c>
      <c r="F1039">
        <f t="shared" si="113"/>
        <v>16255.427299999996</v>
      </c>
      <c r="G1039">
        <f t="shared" si="114"/>
        <v>0.12804169626245171</v>
      </c>
      <c r="H1039">
        <f t="shared" si="115"/>
        <v>5.4713656344665083</v>
      </c>
      <c r="I1039">
        <f t="shared" si="116"/>
        <v>37.259758633456748</v>
      </c>
      <c r="J1039" t="b">
        <f t="shared" si="117"/>
        <v>1</v>
      </c>
      <c r="K1039">
        <f t="shared" si="118"/>
        <v>2971</v>
      </c>
    </row>
    <row r="1040" spans="1:11" x14ac:dyDescent="0.3">
      <c r="A1040" s="1">
        <v>42411</v>
      </c>
      <c r="B1040">
        <v>97558.247050000005</v>
      </c>
      <c r="C1040">
        <v>86203.875199999995</v>
      </c>
      <c r="D1040">
        <v>2284</v>
      </c>
      <c r="E1040">
        <f t="shared" si="112"/>
        <v>42.713768410683016</v>
      </c>
      <c r="F1040">
        <f t="shared" si="113"/>
        <v>11354.37185000001</v>
      </c>
      <c r="G1040">
        <f t="shared" si="114"/>
        <v>0.11638556650347286</v>
      </c>
      <c r="H1040">
        <f t="shared" si="115"/>
        <v>4.9712661339754902</v>
      </c>
      <c r="I1040">
        <f t="shared" si="116"/>
        <v>37.742502276707526</v>
      </c>
      <c r="J1040" t="b">
        <f t="shared" si="117"/>
        <v>1</v>
      </c>
      <c r="K1040">
        <f t="shared" si="118"/>
        <v>2284</v>
      </c>
    </row>
    <row r="1041" spans="1:11" x14ac:dyDescent="0.3">
      <c r="A1041" s="1">
        <v>42440</v>
      </c>
      <c r="B1041">
        <v>97039.009869999994</v>
      </c>
      <c r="C1041">
        <v>89413.415970000002</v>
      </c>
      <c r="D1041">
        <v>2266</v>
      </c>
      <c r="E1041">
        <f t="shared" si="112"/>
        <v>42.823923155339806</v>
      </c>
      <c r="F1041">
        <f t="shared" si="113"/>
        <v>7625.5938999999926</v>
      </c>
      <c r="G1041">
        <f t="shared" si="114"/>
        <v>7.8582766973980395E-2</v>
      </c>
      <c r="H1041">
        <f t="shared" si="115"/>
        <v>3.365222374227713</v>
      </c>
      <c r="I1041">
        <f t="shared" si="116"/>
        <v>39.458700781112093</v>
      </c>
      <c r="J1041" t="b">
        <f t="shared" si="117"/>
        <v>1</v>
      </c>
      <c r="K1041">
        <f t="shared" si="118"/>
        <v>2266</v>
      </c>
    </row>
    <row r="1042" spans="1:11" x14ac:dyDescent="0.3">
      <c r="A1042" s="1">
        <v>42471</v>
      </c>
      <c r="B1042">
        <v>168349.2653</v>
      </c>
      <c r="C1042">
        <v>156675.5901</v>
      </c>
      <c r="D1042">
        <v>3938</v>
      </c>
      <c r="E1042">
        <f t="shared" si="112"/>
        <v>42.749940401218893</v>
      </c>
      <c r="F1042">
        <f t="shared" si="113"/>
        <v>11673.675199999998</v>
      </c>
      <c r="G1042">
        <f t="shared" si="114"/>
        <v>6.9342002646684539E-2</v>
      </c>
      <c r="H1042">
        <f t="shared" si="115"/>
        <v>2.9643664804469267</v>
      </c>
      <c r="I1042">
        <f t="shared" si="116"/>
        <v>39.785573920771967</v>
      </c>
      <c r="J1042" t="b">
        <f t="shared" si="117"/>
        <v>1</v>
      </c>
      <c r="K1042">
        <f t="shared" si="118"/>
        <v>3938</v>
      </c>
    </row>
    <row r="1043" spans="1:11" x14ac:dyDescent="0.3">
      <c r="A1043" s="1">
        <v>42501</v>
      </c>
      <c r="B1043">
        <v>202017.42199999999</v>
      </c>
      <c r="C1043">
        <v>189394.6937</v>
      </c>
      <c r="D1043">
        <v>4720</v>
      </c>
      <c r="E1043">
        <f t="shared" si="112"/>
        <v>42.800301271186441</v>
      </c>
      <c r="F1043">
        <f t="shared" si="113"/>
        <v>12622.728299999988</v>
      </c>
      <c r="G1043">
        <f t="shared" si="114"/>
        <v>6.2483364924833008E-2</v>
      </c>
      <c r="H1043">
        <f t="shared" si="115"/>
        <v>2.6743068432203358</v>
      </c>
      <c r="I1043">
        <f t="shared" si="116"/>
        <v>40.125994427966106</v>
      </c>
      <c r="J1043" t="b">
        <f t="shared" si="117"/>
        <v>1</v>
      </c>
      <c r="K1043">
        <f t="shared" si="118"/>
        <v>4720</v>
      </c>
    </row>
    <row r="1044" spans="1:11" x14ac:dyDescent="0.3">
      <c r="A1044" s="1">
        <v>42532</v>
      </c>
      <c r="B1044">
        <v>108459.0001</v>
      </c>
      <c r="C1044">
        <v>102250.1678</v>
      </c>
      <c r="D1044">
        <v>2537</v>
      </c>
      <c r="E1044">
        <f t="shared" si="112"/>
        <v>42.750886913677576</v>
      </c>
      <c r="F1044">
        <f t="shared" si="113"/>
        <v>6208.8323000000091</v>
      </c>
      <c r="G1044">
        <f t="shared" si="114"/>
        <v>5.7245892865280146E-2</v>
      </c>
      <c r="H1044">
        <f t="shared" si="115"/>
        <v>2.4473126921560961</v>
      </c>
      <c r="I1044">
        <f t="shared" si="116"/>
        <v>40.30357422152148</v>
      </c>
      <c r="J1044" t="b">
        <f t="shared" si="117"/>
        <v>1</v>
      </c>
      <c r="K1044">
        <f t="shared" si="118"/>
        <v>2537</v>
      </c>
    </row>
    <row r="1045" spans="1:11" x14ac:dyDescent="0.3">
      <c r="A1045" s="1">
        <v>42562</v>
      </c>
      <c r="B1045">
        <v>112536.3771</v>
      </c>
      <c r="C1045">
        <v>105978.4825</v>
      </c>
      <c r="D1045">
        <v>2621</v>
      </c>
      <c r="E1045">
        <f t="shared" si="112"/>
        <v>42.936427737504765</v>
      </c>
      <c r="F1045">
        <f t="shared" si="113"/>
        <v>6557.8945999999996</v>
      </c>
      <c r="G1045">
        <f t="shared" si="114"/>
        <v>5.8273553574349067E-2</v>
      </c>
      <c r="H1045">
        <f t="shared" si="115"/>
        <v>2.5020582220526464</v>
      </c>
      <c r="I1045">
        <f t="shared" si="116"/>
        <v>40.434369515452119</v>
      </c>
      <c r="J1045" t="b">
        <f t="shared" si="117"/>
        <v>1</v>
      </c>
      <c r="K1045">
        <f t="shared" si="118"/>
        <v>2621</v>
      </c>
    </row>
    <row r="1046" spans="1:11" x14ac:dyDescent="0.3">
      <c r="A1046" s="1">
        <v>42593</v>
      </c>
      <c r="B1046">
        <v>100479.93</v>
      </c>
      <c r="C1046">
        <v>94692.479290000003</v>
      </c>
      <c r="D1046">
        <v>2341</v>
      </c>
      <c r="E1046">
        <f t="shared" si="112"/>
        <v>42.921798376762062</v>
      </c>
      <c r="F1046">
        <f t="shared" si="113"/>
        <v>5787.4507099999901</v>
      </c>
      <c r="G1046">
        <f t="shared" si="114"/>
        <v>5.7598076650730058E-2</v>
      </c>
      <c r="H1046">
        <f t="shared" si="115"/>
        <v>2.4722130328919221</v>
      </c>
      <c r="I1046">
        <f t="shared" si="116"/>
        <v>40.44958534387014</v>
      </c>
      <c r="J1046" t="b">
        <f t="shared" si="117"/>
        <v>1</v>
      </c>
      <c r="K1046">
        <f t="shared" si="118"/>
        <v>2341</v>
      </c>
    </row>
    <row r="1047" spans="1:11" x14ac:dyDescent="0.3">
      <c r="A1047" s="1">
        <v>42624</v>
      </c>
      <c r="B1047">
        <v>81649.688670000003</v>
      </c>
      <c r="C1047">
        <v>77081.660569999993</v>
      </c>
      <c r="D1047">
        <v>1901</v>
      </c>
      <c r="E1047">
        <f t="shared" si="112"/>
        <v>42.950914608101002</v>
      </c>
      <c r="F1047">
        <f t="shared" si="113"/>
        <v>4568.0281000000105</v>
      </c>
      <c r="G1047">
        <f t="shared" si="114"/>
        <v>5.5946668926839527E-2</v>
      </c>
      <c r="H1047">
        <f t="shared" si="115"/>
        <v>2.4029605996843841</v>
      </c>
      <c r="I1047">
        <f t="shared" si="116"/>
        <v>40.547954008416617</v>
      </c>
      <c r="J1047" t="b">
        <f t="shared" si="117"/>
        <v>1</v>
      </c>
      <c r="K1047">
        <f t="shared" si="118"/>
        <v>1901</v>
      </c>
    </row>
    <row r="1048" spans="1:11" x14ac:dyDescent="0.3">
      <c r="A1048" s="1">
        <v>42654</v>
      </c>
      <c r="B1048">
        <v>71529.162639999995</v>
      </c>
      <c r="C1048">
        <v>67551.250969999994</v>
      </c>
      <c r="D1048">
        <v>1666</v>
      </c>
      <c r="E1048">
        <f t="shared" si="112"/>
        <v>42.934671452581028</v>
      </c>
      <c r="F1048">
        <f t="shared" si="113"/>
        <v>3977.9116700000013</v>
      </c>
      <c r="G1048">
        <f t="shared" si="114"/>
        <v>5.5612445654096107E-2</v>
      </c>
      <c r="H1048">
        <f t="shared" si="115"/>
        <v>2.3877020828331297</v>
      </c>
      <c r="I1048">
        <f t="shared" si="116"/>
        <v>40.546969369747899</v>
      </c>
      <c r="J1048" t="b">
        <f t="shared" si="117"/>
        <v>1</v>
      </c>
      <c r="K1048">
        <f t="shared" si="118"/>
        <v>1666</v>
      </c>
    </row>
    <row r="1049" spans="1:11" x14ac:dyDescent="0.3">
      <c r="A1049" s="1">
        <v>42685</v>
      </c>
      <c r="B1049">
        <v>160938.60159999999</v>
      </c>
      <c r="C1049">
        <v>152555.4173</v>
      </c>
      <c r="D1049">
        <v>3748</v>
      </c>
      <c r="E1049">
        <f t="shared" si="112"/>
        <v>42.939861686232653</v>
      </c>
      <c r="F1049">
        <f t="shared" si="113"/>
        <v>8383.1842999999935</v>
      </c>
      <c r="G1049">
        <f t="shared" si="114"/>
        <v>5.2089332308452183E-2</v>
      </c>
      <c r="H1049">
        <f t="shared" si="115"/>
        <v>2.2367087246531412</v>
      </c>
      <c r="I1049">
        <f t="shared" si="116"/>
        <v>40.703152961579512</v>
      </c>
      <c r="J1049" t="b">
        <f t="shared" si="117"/>
        <v>1</v>
      </c>
      <c r="K1049">
        <f t="shared" si="118"/>
        <v>3748</v>
      </c>
    </row>
    <row r="1050" spans="1:11" x14ac:dyDescent="0.3">
      <c r="A1050" s="1">
        <v>42715</v>
      </c>
      <c r="B1050">
        <v>164998.84460000001</v>
      </c>
      <c r="C1050">
        <v>156263.1495</v>
      </c>
      <c r="D1050">
        <v>3843</v>
      </c>
      <c r="E1050">
        <f t="shared" si="112"/>
        <v>42.934906219099666</v>
      </c>
      <c r="F1050">
        <f t="shared" si="113"/>
        <v>8735.6951000000117</v>
      </c>
      <c r="G1050">
        <f t="shared" si="114"/>
        <v>5.2943977402857591E-2</v>
      </c>
      <c r="H1050">
        <f t="shared" si="115"/>
        <v>2.2731447046578239</v>
      </c>
      <c r="I1050">
        <f t="shared" si="116"/>
        <v>40.661761514441842</v>
      </c>
      <c r="J1050" t="b">
        <f t="shared" si="117"/>
        <v>1</v>
      </c>
      <c r="K1050">
        <f t="shared" si="118"/>
        <v>3843</v>
      </c>
    </row>
    <row r="1051" spans="1:11" x14ac:dyDescent="0.3">
      <c r="A1051" t="s">
        <v>633</v>
      </c>
      <c r="B1051">
        <v>97946.783049999998</v>
      </c>
      <c r="C1051">
        <v>93112.608909999995</v>
      </c>
      <c r="D1051">
        <v>2281</v>
      </c>
      <c r="E1051">
        <f t="shared" si="112"/>
        <v>42.94028191582639</v>
      </c>
      <c r="F1051">
        <f t="shared" si="113"/>
        <v>4834.1741400000028</v>
      </c>
      <c r="G1051">
        <f t="shared" si="114"/>
        <v>4.9355108860821367E-2</v>
      </c>
      <c r="H1051">
        <f t="shared" si="115"/>
        <v>2.1193222884699665</v>
      </c>
      <c r="I1051">
        <f t="shared" si="116"/>
        <v>40.820959627356423</v>
      </c>
      <c r="J1051" t="b">
        <f t="shared" si="117"/>
        <v>1</v>
      </c>
      <c r="K1051">
        <f t="shared" si="118"/>
        <v>2281</v>
      </c>
    </row>
    <row r="1052" spans="1:11" x14ac:dyDescent="0.3">
      <c r="A1052" t="s">
        <v>634</v>
      </c>
      <c r="B1052">
        <v>87834.253679999994</v>
      </c>
      <c r="C1052">
        <v>83068.269029999996</v>
      </c>
      <c r="D1052">
        <v>2046</v>
      </c>
      <c r="E1052">
        <f t="shared" si="112"/>
        <v>42.929742756598237</v>
      </c>
      <c r="F1052">
        <f t="shared" si="113"/>
        <v>4765.9846499999985</v>
      </c>
      <c r="G1052">
        <f t="shared" si="114"/>
        <v>5.4261116253842792E-2</v>
      </c>
      <c r="H1052">
        <f t="shared" si="115"/>
        <v>2.3294157624633414</v>
      </c>
      <c r="I1052">
        <f t="shared" si="116"/>
        <v>40.600326994134896</v>
      </c>
      <c r="J1052" t="b">
        <f t="shared" si="117"/>
        <v>1</v>
      </c>
      <c r="K1052">
        <f t="shared" si="118"/>
        <v>2046</v>
      </c>
    </row>
    <row r="1053" spans="1:11" x14ac:dyDescent="0.3">
      <c r="A1053" t="s">
        <v>635</v>
      </c>
      <c r="B1053">
        <v>95509.134980000003</v>
      </c>
      <c r="C1053">
        <v>88104.204530000003</v>
      </c>
      <c r="D1053">
        <v>2181</v>
      </c>
      <c r="E1053">
        <f t="shared" si="112"/>
        <v>43.791441989912883</v>
      </c>
      <c r="F1053">
        <f t="shared" si="113"/>
        <v>7404.9304499999998</v>
      </c>
      <c r="G1053">
        <f t="shared" si="114"/>
        <v>7.7531122562785451E-2</v>
      </c>
      <c r="H1053">
        <f t="shared" si="115"/>
        <v>3.3951996561210436</v>
      </c>
      <c r="I1053">
        <f t="shared" si="116"/>
        <v>40.396242333791839</v>
      </c>
      <c r="J1053" t="b">
        <f t="shared" si="117"/>
        <v>1</v>
      </c>
      <c r="K1053">
        <f t="shared" si="118"/>
        <v>2181</v>
      </c>
    </row>
    <row r="1054" spans="1:11" x14ac:dyDescent="0.3">
      <c r="A1054" t="s">
        <v>636</v>
      </c>
      <c r="B1054">
        <v>77229.971890000001</v>
      </c>
      <c r="C1054">
        <v>71428.87</v>
      </c>
      <c r="D1054">
        <v>1763</v>
      </c>
      <c r="E1054">
        <f t="shared" si="112"/>
        <v>43.805996534316506</v>
      </c>
      <c r="F1054">
        <f t="shared" si="113"/>
        <v>5801.1018900000054</v>
      </c>
      <c r="G1054">
        <f t="shared" si="114"/>
        <v>7.5114644587241541E-2</v>
      </c>
      <c r="H1054">
        <f t="shared" si="115"/>
        <v>3.290471860465118</v>
      </c>
      <c r="I1054">
        <f t="shared" si="116"/>
        <v>40.515524673851388</v>
      </c>
      <c r="J1054" t="b">
        <f t="shared" si="117"/>
        <v>1</v>
      </c>
      <c r="K1054">
        <f t="shared" si="118"/>
        <v>1763</v>
      </c>
    </row>
    <row r="1055" spans="1:11" x14ac:dyDescent="0.3">
      <c r="J1055">
        <f>COUNTIF(J2:J1053,FALSE)</f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PROMO VS NORMAL </vt:lpstr>
      <vt:lpstr>Sheet1 (4)</vt:lpstr>
      <vt:lpstr>Sheet1 (3)</vt:lpstr>
      <vt:lpstr>Sheet1 (2)</vt:lpstr>
      <vt:lpstr>Sheet1</vt:lpstr>
      <vt:lpstr>Sales Case Study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Pride retailstar</cp:lastModifiedBy>
  <dcterms:created xsi:type="dcterms:W3CDTF">2025-11-16T19:26:34Z</dcterms:created>
  <dcterms:modified xsi:type="dcterms:W3CDTF">2025-11-16T19:26:34Z</dcterms:modified>
</cp:coreProperties>
</file>